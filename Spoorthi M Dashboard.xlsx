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A6B97C9581C9ED36/Desktop/"/>
    </mc:Choice>
  </mc:AlternateContent>
  <xr:revisionPtr revIDLastSave="270" documentId="8_{168E3E05-500C-4A3D-BDA4-94E7F29A2873}" xr6:coauthVersionLast="47" xr6:coauthVersionMax="47" xr10:uidLastSave="{55117E2D-F6A7-4BF7-8C1E-9203549CBDF3}"/>
  <bookViews>
    <workbookView xWindow="-108" yWindow="-108" windowWidth="23256" windowHeight="12456" activeTab="2" xr2:uid="{78BF963C-6579-4EF5-B67C-0AA3C763BDD9}"/>
  </bookViews>
  <sheets>
    <sheet name="MASTER DATA" sheetId="1" r:id="rId1"/>
    <sheet name="PIVOT TABLE" sheetId="2" r:id="rId2"/>
    <sheet name="DASH BOARD" sheetId="3" r:id="rId3"/>
  </sheets>
  <definedNames>
    <definedName name="NativeTimeline_Date">#N/A</definedName>
    <definedName name="Slicer_Place">#N/A</definedName>
    <definedName name="Slicer_Products">#N/A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21" i="2" l="1"/>
  <c r="I120" i="2"/>
  <c r="I119" i="2"/>
  <c r="I118" i="2"/>
  <c r="I117" i="2"/>
  <c r="I116" i="2"/>
  <c r="I115" i="2"/>
  <c r="I114" i="2"/>
  <c r="I113" i="2"/>
  <c r="I112" i="2"/>
  <c r="I111" i="2"/>
  <c r="I110" i="2"/>
  <c r="I109" i="2"/>
  <c r="I108" i="2"/>
  <c r="J98" i="2"/>
  <c r="J97" i="2"/>
  <c r="J96" i="2"/>
  <c r="J95" i="2"/>
  <c r="J94" i="2"/>
  <c r="J93" i="2"/>
  <c r="J92" i="2"/>
  <c r="J91" i="2"/>
  <c r="J90" i="2"/>
  <c r="J89" i="2"/>
  <c r="J88" i="2"/>
  <c r="J87" i="2"/>
  <c r="J86" i="2"/>
  <c r="J85" i="2"/>
  <c r="H69" i="2"/>
  <c r="H68" i="2"/>
  <c r="H67" i="2"/>
  <c r="H66" i="2"/>
  <c r="H65" i="2"/>
  <c r="H64" i="2"/>
  <c r="H63" i="2"/>
  <c r="H62" i="2"/>
  <c r="H61" i="2"/>
  <c r="H60" i="2"/>
  <c r="H59" i="2"/>
  <c r="H58" i="2"/>
  <c r="H57" i="2"/>
  <c r="H56" i="2"/>
  <c r="G37" i="2"/>
  <c r="G38" i="2"/>
  <c r="G39" i="2"/>
  <c r="G40" i="2"/>
  <c r="G41" i="2"/>
  <c r="G42" i="2"/>
  <c r="G43" i="2"/>
  <c r="G44" i="2"/>
  <c r="G45" i="2"/>
  <c r="G46" i="2"/>
  <c r="G47" i="2"/>
  <c r="G48" i="2"/>
  <c r="G49" i="2"/>
  <c r="G50" i="2"/>
  <c r="G15" i="2"/>
  <c r="G14" i="2"/>
  <c r="G13" i="2"/>
  <c r="G12" i="2"/>
  <c r="G11" i="2"/>
  <c r="G10" i="2"/>
  <c r="G9" i="2"/>
  <c r="G8" i="2"/>
  <c r="G7" i="2"/>
  <c r="G6" i="2"/>
  <c r="G5" i="2"/>
  <c r="G4" i="2"/>
  <c r="G3" i="2"/>
  <c r="G2" i="2"/>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<sst xmlns="http://schemas.openxmlformats.org/spreadsheetml/2006/main" count="915" uniqueCount="31">
  <si>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</si>
  <si>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</si>
  <si>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</si>
  <si>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</si>
  <si>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</si>
  <si>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</si>
  <si>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</si>
  <si>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</si>
  <si>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</si>
  <si>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</si>
  <si>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</si>
  <si>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</si>
  <si>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</si>
  <si>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</si>
  <si>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</si>
  <si>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</si>
  <si>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</si>
  <si>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</si>
  <si>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</si>
  <si>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</si>
  <si>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</si>
  <si>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</si>
  <si>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</si>
  <si>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</si>
  <si>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</si>
  <si>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</si>
  <si>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</si>
  <si>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</si>
  <si>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Feb</t>
  </si>
  <si>
    <t>Sum of Units</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</si>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</sst>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rgb="FFFF0000"/>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0"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[DahboardParctice.xlsx]PIVOT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f>
              <c:strCache>
                <c:ptCount val="1"/>
                <c:pt idx="0">
                  <c:v>Total</c:v>
                </c:pt>
              </c:strCache>
            </c:strRef>
          </c:tx>
          <c:spPr>
            <a:solidFill>
              <a:schemeClr val="accent1"/>
            </a:solidFill>
            <a:ln>
              <a:noFill/>
            </a:ln>
            <a:effectLst/>
          </c:spPr>
          <c:invertIfNegative val="0"/>
          <c:cat>
            <c:strRef>
              <c:f>'PIVOT TABLE'!$B$3:$B$5</c:f>
              <c:strCache>
                <c:ptCount val="2"/>
                <c:pt idx="0">
                  <c:v>Jan</c:v>
                </c:pt>
                <c:pt idx="1">
                  <c:v>Feb</c:v>
                </c:pt>
              </c:strCache>
            </c:strRef>
          </c:cat>
          <c:val>
            <c:numRef>
              <c:f>'PIVOT TABLE'!$C$3:$C$5</c:f>
              <c:numCache>
                <c:formatCode>#,##0</c:formatCode>
                <c:ptCount val="2"/>
                <c:pt idx="0">
                  <c:v>9022917</c:v>
                </c:pt>
                <c:pt idx="1">
                  <c:v>813599</c:v>
                </c:pt>
              </c:numCache>
            </c:numRef>
          </c:val>
          <c:extLst>
            <c:ext xmlns:c16="http://schemas.microsoft.com/office/drawing/2014/chart" uri="{C3380CC4-5D6E-409C-BE32-E72D297353CC}">
              <c16:uniqueId val="{00000000-9D08-47F3-A282-5CCDC67787BF}"/>
            </c:ext>
          </c:extLst>
        </c:ser>
        <c:dLbls>
          <c:showLegendKey val="0"/>
          <c:showVal val="0"/>
          <c:showCatName val="0"/>
          <c:showSerName val="0"/>
          <c:showPercent val="0"/>
          <c:showBubbleSize val="0"/>
        </c:dLbls>
        <c:gapWidth val="219"/>
        <c:overlap val="-27"/>
        <c:axId val="272538671"/>
        <c:axId val="271207503"/>
      </c:barChart>
      <c:catAx>
        <c:axId val="2725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07503"/>
        <c:crosses val="autoZero"/>
        <c:auto val="1"/>
        <c:lblAlgn val="ctr"/>
        <c:lblOffset val="100"/>
        <c:noMultiLvlLbl val="0"/>
      </c:catAx>
      <c:valAx>
        <c:axId val="271207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3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[DahboardParctice.xlsx]PIVOT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c:f>
              <c:strCache>
                <c:ptCount val="1"/>
                <c:pt idx="0">
                  <c:v>Total</c:v>
                </c:pt>
              </c:strCache>
            </c:strRef>
          </c:tx>
          <c:spPr>
            <a:ln w="28575" cap="rnd">
              <a:solidFill>
                <a:schemeClr val="accent1"/>
              </a:solidFill>
              <a:round/>
            </a:ln>
            <a:effectLst/>
          </c:spPr>
          <c:marker>
            <c:symbol val="none"/>
          </c:marker>
          <c:cat>
            <c:strRef>
              <c:f>'PIVOT TABLE'!$B$3:$B$5</c:f>
              <c:strCache>
                <c:ptCount val="2"/>
                <c:pt idx="0">
                  <c:v>Jan</c:v>
                </c:pt>
                <c:pt idx="1">
                  <c:v>Feb</c:v>
                </c:pt>
              </c:strCache>
            </c:strRef>
          </c:cat>
          <c:val>
            <c:numRef>
              <c:f>'PIVOT TABLE'!$C$3:$C$5</c:f>
              <c:numCache>
                <c:formatCode>#,##0</c:formatCode>
                <c:ptCount val="2"/>
                <c:pt idx="0">
                  <c:v>9022917</c:v>
                </c:pt>
                <c:pt idx="1">
                  <c:v>813599</c:v>
                </c:pt>
              </c:numCache>
            </c:numRef>
          </c:val>
          <c:smooth val="0"/>
          <c:extLst>
            <c:ext xmlns:c16="http://schemas.microsoft.com/office/drawing/2014/chart" uri="{C3380CC4-5D6E-409C-BE32-E72D297353CC}">
              <c16:uniqueId val="{00000000-835E-4592-8F9E-22275E3ACD4B}"/>
            </c:ext>
          </c:extLst>
        </c:ser>
        <c:dLbls>
          <c:showLegendKey val="0"/>
          <c:showVal val="0"/>
          <c:showCatName val="0"/>
          <c:showSerName val="0"/>
          <c:showPercent val="0"/>
          <c:showBubbleSize val="0"/>
        </c:dLbls>
        <c:smooth val="0"/>
        <c:axId val="652017087"/>
        <c:axId val="271199823"/>
      </c:lineChart>
      <c:catAx>
        <c:axId val="65201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199823"/>
        <c:crosses val="autoZero"/>
        <c:auto val="1"/>
        <c:lblAlgn val="ctr"/>
        <c:lblOffset val="100"/>
        <c:noMultiLvlLbl val="0"/>
      </c:catAx>
      <c:valAx>
        <c:axId val="271199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1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[DahboardParctice.xlsx]PIVOT TABLE!PivotTable3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TABLE'!$B$38:$B$43</c:f>
              <c:strCache>
                <c:ptCount val="5"/>
                <c:pt idx="0">
                  <c:v>Bapatla</c:v>
                </c:pt>
                <c:pt idx="1">
                  <c:v>Chirala</c:v>
                </c:pt>
                <c:pt idx="2">
                  <c:v>Guntur</c:v>
                </c:pt>
                <c:pt idx="3">
                  <c:v>Tenali</c:v>
                </c:pt>
                <c:pt idx="4">
                  <c:v>Vijayawada</c:v>
                </c:pt>
              </c:strCache>
            </c:strRef>
          </c:cat>
          <c:val>
            <c:numRef>
              <c:f>'PIVOT TABLE'!$C$38:$C$43</c:f>
              <c:numCache>
                <c:formatCode>#,##0</c:formatCode>
                <c:ptCount val="5"/>
                <c:pt idx="0">
                  <c:v>941261</c:v>
                </c:pt>
                <c:pt idx="1">
                  <c:v>3354000</c:v>
                </c:pt>
                <c:pt idx="2">
                  <c:v>5019705</c:v>
                </c:pt>
                <c:pt idx="3">
                  <c:v>336783</c:v>
                </c:pt>
                <c:pt idx="4">
                  <c:v>184767</c:v>
                </c:pt>
              </c:numCache>
            </c:numRef>
          </c:val>
          <c:extLst>
            <c:ext xmlns:c16="http://schemas.microsoft.com/office/drawing/2014/chart" uri="{C3380CC4-5D6E-409C-BE32-E72D297353CC}">
              <c16:uniqueId val="{00000002-10C1-4B85-AFE6-0FD5FDACD746}"/>
            </c:ext>
          </c:extLst>
        </c:ser>
        <c:dLbls>
          <c:showLegendKey val="0"/>
          <c:showVal val="0"/>
          <c:showCatName val="0"/>
          <c:showSerName val="0"/>
          <c:showPercent val="0"/>
          <c:showBubbleSize val="0"/>
        </c:dLbls>
        <c:gapWidth val="219"/>
        <c:overlap val="-27"/>
        <c:axId val="841862047"/>
        <c:axId val="271176783"/>
      </c:barChart>
      <c:catAx>
        <c:axId val="8418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176783"/>
        <c:crosses val="autoZero"/>
        <c:auto val="1"/>
        <c:lblAlgn val="ctr"/>
        <c:lblOffset val="100"/>
        <c:noMultiLvlLbl val="0"/>
      </c:catAx>
      <c:valAx>
        <c:axId val="271176783"/>
        <c:scaling>
          <c:orientation val="minMax"/>
        </c:scaling>
        <c:delete val="1"/>
        <c:axPos val="l"/>
        <c:numFmt formatCode="#,##0" sourceLinked="1"/>
        <c:majorTickMark val="none"/>
        <c:minorTickMark val="none"/>
        <c:tickLblPos val="nextTo"/>
        <c:crossAx val="841862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[DahboardParctice.xlsx]PIVOT TABLE!PivotTable4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TABLE'!$C$57:$C$63</c:f>
              <c:strCache>
                <c:ptCount val="6"/>
                <c:pt idx="0">
                  <c:v>4K LED TV's</c:v>
                </c:pt>
                <c:pt idx="1">
                  <c:v>Furniture</c:v>
                </c:pt>
                <c:pt idx="2">
                  <c:v>Laptops</c:v>
                </c:pt>
                <c:pt idx="3">
                  <c:v>LED TV's</c:v>
                </c:pt>
                <c:pt idx="4">
                  <c:v>Mobiles</c:v>
                </c:pt>
                <c:pt idx="5">
                  <c:v>Speakers</c:v>
                </c:pt>
              </c:strCache>
            </c:strRef>
          </c:cat>
          <c:val>
            <c:numRef>
              <c:f>'PIVOT TABLE'!$D$57:$D$63</c:f>
              <c:numCache>
                <c:formatCode>General</c:formatCode>
                <c:ptCount val="6"/>
                <c:pt idx="0">
                  <c:v>97</c:v>
                </c:pt>
                <c:pt idx="1">
                  <c:v>172</c:v>
                </c:pt>
                <c:pt idx="2">
                  <c:v>65</c:v>
                </c:pt>
                <c:pt idx="3">
                  <c:v>44</c:v>
                </c:pt>
                <c:pt idx="4">
                  <c:v>11</c:v>
                </c:pt>
                <c:pt idx="5">
                  <c:v>40</c:v>
                </c:pt>
              </c:numCache>
            </c:numRef>
          </c:val>
          <c:extLst>
            <c:ext xmlns:c16="http://schemas.microsoft.com/office/drawing/2014/chart" uri="{C3380CC4-5D6E-409C-BE32-E72D297353CC}">
              <c16:uniqueId val="{00000000-45CC-4729-9590-FBDF17E8B53D}"/>
            </c:ext>
          </c:extLst>
        </c:ser>
        <c:dLbls>
          <c:showLegendKey val="0"/>
          <c:showVal val="0"/>
          <c:showCatName val="0"/>
          <c:showSerName val="0"/>
          <c:showPercent val="0"/>
          <c:showBubbleSize val="0"/>
        </c:dLbls>
        <c:gapWidth val="182"/>
        <c:axId val="699352479"/>
        <c:axId val="211047471"/>
      </c:barChart>
      <c:catAx>
        <c:axId val="69935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471"/>
        <c:crosses val="autoZero"/>
        <c:auto val="1"/>
        <c:lblAlgn val="ctr"/>
        <c:lblOffset val="100"/>
        <c:noMultiLvlLbl val="0"/>
      </c:catAx>
      <c:valAx>
        <c:axId val="21104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[DahboardParctice.xlsx]PIVOT TABLE!PivotTable2</c:name>
    <c:fmtId val="9"/>
  </c:pivotSource>
  <c:chart>
    <c:title>
      <c:layout>
        <c:manualLayout>
          <c:xMode val="edge"/>
          <c:yMode val="edge"/>
          <c:x val="0.45791324076879769"/>
          <c:y val="0.108768334303057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3607622523843"/>
          <c:y val="0.18019106924264197"/>
          <c:w val="0.83848801522450711"/>
          <c:h val="0.42893022513172602"/>
        </c:manualLayout>
      </c:layout>
      <c:lineChart>
        <c:grouping val="standard"/>
        <c:varyColors val="0"/>
        <c:ser>
          <c:idx val="0"/>
          <c:order val="0"/>
          <c:tx>
            <c:strRef>
              <c:f>'PIVOT TABLE'!$C$2</c:f>
              <c:strCache>
                <c:ptCount val="1"/>
                <c:pt idx="0">
                  <c:v>Total</c:v>
                </c:pt>
              </c:strCache>
            </c:strRef>
          </c:tx>
          <c:spPr>
            <a:ln w="28575" cap="rnd">
              <a:solidFill>
                <a:schemeClr val="accent1"/>
              </a:solidFill>
              <a:round/>
            </a:ln>
            <a:effectLst/>
          </c:spPr>
          <c:marker>
            <c:symbol val="none"/>
          </c:marker>
          <c:cat>
            <c:strRef>
              <c:f>'PIVOT TABLE'!$B$3:$B$5</c:f>
              <c:strCache>
                <c:ptCount val="2"/>
                <c:pt idx="0">
                  <c:v>Jan</c:v>
                </c:pt>
                <c:pt idx="1">
                  <c:v>Feb</c:v>
                </c:pt>
              </c:strCache>
            </c:strRef>
          </c:cat>
          <c:val>
            <c:numRef>
              <c:f>'PIVOT TABLE'!$C$3:$C$5</c:f>
              <c:numCache>
                <c:formatCode>#,##0</c:formatCode>
                <c:ptCount val="2"/>
                <c:pt idx="0">
                  <c:v>9022917</c:v>
                </c:pt>
                <c:pt idx="1">
                  <c:v>813599</c:v>
                </c:pt>
              </c:numCache>
            </c:numRef>
          </c:val>
          <c:smooth val="0"/>
          <c:extLst>
            <c:ext xmlns:c16="http://schemas.microsoft.com/office/drawing/2014/chart" uri="{C3380CC4-5D6E-409C-BE32-E72D297353CC}">
              <c16:uniqueId val="{00000000-53A8-4D71-811B-299C8BBD8E6D}"/>
            </c:ext>
          </c:extLst>
        </c:ser>
        <c:dLbls>
          <c:showLegendKey val="0"/>
          <c:showVal val="0"/>
          <c:showCatName val="0"/>
          <c:showSerName val="0"/>
          <c:showPercent val="0"/>
          <c:showBubbleSize val="0"/>
        </c:dLbls>
        <c:smooth val="0"/>
        <c:axId val="652017087"/>
        <c:axId val="271199823"/>
      </c:lineChart>
      <c:catAx>
        <c:axId val="65201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199823"/>
        <c:crosses val="autoZero"/>
        <c:auto val="1"/>
        <c:lblAlgn val="ctr"/>
        <c:lblOffset val="100"/>
        <c:noMultiLvlLbl val="0"/>
      </c:catAx>
      <c:valAx>
        <c:axId val="271199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1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[DahboardParctice.xlsx]PIVOT TABLE!PivotTable3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TABLE'!$B$38:$B$43</c:f>
              <c:strCache>
                <c:ptCount val="5"/>
                <c:pt idx="0">
                  <c:v>Bapatla</c:v>
                </c:pt>
                <c:pt idx="1">
                  <c:v>Chirala</c:v>
                </c:pt>
                <c:pt idx="2">
                  <c:v>Guntur</c:v>
                </c:pt>
                <c:pt idx="3">
                  <c:v>Tenali</c:v>
                </c:pt>
                <c:pt idx="4">
                  <c:v>Vijayawada</c:v>
                </c:pt>
              </c:strCache>
            </c:strRef>
          </c:cat>
          <c:val>
            <c:numRef>
              <c:f>'PIVOT TABLE'!$C$38:$C$43</c:f>
              <c:numCache>
                <c:formatCode>#,##0</c:formatCode>
                <c:ptCount val="5"/>
                <c:pt idx="0">
                  <c:v>941261</c:v>
                </c:pt>
                <c:pt idx="1">
                  <c:v>3354000</c:v>
                </c:pt>
                <c:pt idx="2">
                  <c:v>5019705</c:v>
                </c:pt>
                <c:pt idx="3">
                  <c:v>336783</c:v>
                </c:pt>
                <c:pt idx="4">
                  <c:v>184767</c:v>
                </c:pt>
              </c:numCache>
            </c:numRef>
          </c:val>
          <c:extLst>
            <c:ext xmlns:c16="http://schemas.microsoft.com/office/drawing/2014/chart" uri="{C3380CC4-5D6E-409C-BE32-E72D297353CC}">
              <c16:uniqueId val="{00000000-F058-404E-8906-504629E4D16C}"/>
            </c:ext>
          </c:extLst>
        </c:ser>
        <c:dLbls>
          <c:showLegendKey val="0"/>
          <c:showVal val="0"/>
          <c:showCatName val="0"/>
          <c:showSerName val="0"/>
          <c:showPercent val="0"/>
          <c:showBubbleSize val="0"/>
        </c:dLbls>
        <c:gapWidth val="219"/>
        <c:overlap val="-27"/>
        <c:axId val="841862047"/>
        <c:axId val="271176783"/>
      </c:barChart>
      <c:catAx>
        <c:axId val="8418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176783"/>
        <c:crosses val="autoZero"/>
        <c:auto val="1"/>
        <c:lblAlgn val="ctr"/>
        <c:lblOffset val="100"/>
        <c:noMultiLvlLbl val="0"/>
      </c:catAx>
      <c:valAx>
        <c:axId val="271176783"/>
        <c:scaling>
          <c:orientation val="minMax"/>
        </c:scaling>
        <c:delete val="1"/>
        <c:axPos val="l"/>
        <c:numFmt formatCode="#,##0" sourceLinked="1"/>
        <c:majorTickMark val="none"/>
        <c:minorTickMark val="none"/>
        <c:tickLblPos val="nextTo"/>
        <c:crossAx val="841862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[DahboardParctice.xlsx]PIVOT TABLE!PivotTable4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TABLE'!$C$57:$C$63</c:f>
              <c:strCache>
                <c:ptCount val="6"/>
                <c:pt idx="0">
                  <c:v>4K LED TV's</c:v>
                </c:pt>
                <c:pt idx="1">
                  <c:v>Furniture</c:v>
                </c:pt>
                <c:pt idx="2">
                  <c:v>Laptops</c:v>
                </c:pt>
                <c:pt idx="3">
                  <c:v>LED TV's</c:v>
                </c:pt>
                <c:pt idx="4">
                  <c:v>Mobiles</c:v>
                </c:pt>
                <c:pt idx="5">
                  <c:v>Speakers</c:v>
                </c:pt>
              </c:strCache>
            </c:strRef>
          </c:cat>
          <c:val>
            <c:numRef>
              <c:f>'PIVOT TABLE'!$D$57:$D$63</c:f>
              <c:numCache>
                <c:formatCode>General</c:formatCode>
                <c:ptCount val="6"/>
                <c:pt idx="0">
                  <c:v>97</c:v>
                </c:pt>
                <c:pt idx="1">
                  <c:v>172</c:v>
                </c:pt>
                <c:pt idx="2">
                  <c:v>65</c:v>
                </c:pt>
                <c:pt idx="3">
                  <c:v>44</c:v>
                </c:pt>
                <c:pt idx="4">
                  <c:v>11</c:v>
                </c:pt>
                <c:pt idx="5">
                  <c:v>40</c:v>
                </c:pt>
              </c:numCache>
            </c:numRef>
          </c:val>
          <c:extLst>
            <c:ext xmlns:c16="http://schemas.microsoft.com/office/drawing/2014/chart" uri="{C3380CC4-5D6E-409C-BE32-E72D297353CC}">
              <c16:uniqueId val="{00000000-41B6-4616-A8A3-5558F8DE8B43}"/>
            </c:ext>
          </c:extLst>
        </c:ser>
        <c:dLbls>
          <c:showLegendKey val="0"/>
          <c:showVal val="0"/>
          <c:showCatName val="0"/>
          <c:showSerName val="0"/>
          <c:showPercent val="0"/>
          <c:showBubbleSize val="0"/>
        </c:dLbls>
        <c:gapWidth val="182"/>
        <c:axId val="699352479"/>
        <c:axId val="211047471"/>
      </c:barChart>
      <c:catAx>
        <c:axId val="69935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471"/>
        <c:crosses val="autoZero"/>
        <c:auto val="1"/>
        <c:lblAlgn val="ctr"/>
        <c:lblOffset val="100"/>
        <c:noMultiLvlLbl val="0"/>
      </c:catAx>
      <c:valAx>
        <c:axId val="21104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6.xml"/><Relationship Id="rId7" Type="http://schemas.openxmlformats.org/officeDocument/2006/relationships/image" Target="../media/image4.png"/><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7.xml"/><Relationship Id="rId9"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7</xdr:col>
      <xdr:colOff>533400</xdr:colOff>
      <xdr:row>5</xdr:row>
      <xdr:rowOff>118110</xdr:rowOff>
    </xdr:from>
    <xdr:to>
      <xdr:col>15</xdr:col>
      <xdr:colOff>228600</xdr:colOff>
      <xdr:row>19</xdr:row>
      <xdr:rowOff>148590</xdr:rowOff>
    </xdr:to>
    <xdr:graphicFrame macro="">
      <xdr:nvGraphicFramePr>
        <xdr:cNvPr id="2" name="Chart 1">
          <a:extLst>
            <a:ext uri="{FF2B5EF4-FFF2-40B4-BE49-F238E27FC236}">
              <a16:creationId xmlns:a16="http://schemas.microsoft.com/office/drawing/2014/main" id="{4585BC4F-59EC-F078-6B54-D19DC620D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426720</xdr:colOff>
      <xdr:row>3</xdr:row>
      <xdr:rowOff>167640</xdr:rowOff>
    </xdr:from>
    <xdr:to>
      <xdr:col>20</xdr:col>
      <xdr:colOff>106678</xdr:colOff>
      <xdr:row>10</xdr:row>
      <xdr:rowOff>76200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70716486-7420-A2B9-0C6E-0FFF4A51740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650220" y="802640"/>
              <a:ext cx="3362958" cy="13161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266700</xdr:colOff>
      <xdr:row>0</xdr:row>
      <xdr:rowOff>53340</xdr:rowOff>
    </xdr:from>
    <xdr:to>
      <xdr:col>24</xdr:col>
      <xdr:colOff>266699</xdr:colOff>
      <xdr:row>13</xdr:row>
      <xdr:rowOff>28575</xdr:rowOff>
    </xdr:to>
    <mc:AlternateContent xmlns:mc="http://schemas.openxmlformats.org/markup-compatibility/2006">
      <mc:Choice xmlns:a14="http://schemas.microsoft.com/office/drawing/2010/main" Requires="a14">
        <xdr:graphicFrame macro="">
          <xdr:nvGraphicFramePr>
            <xdr:cNvPr id="4" name="Place">
              <a:extLst>
                <a:ext uri="{FF2B5EF4-FFF2-40B4-BE49-F238E27FC236}">
                  <a16:creationId xmlns:a16="http://schemas.microsoft.com/office/drawing/2014/main" id="{48C561FB-ECBD-9ACA-3039-253ED5392FAC}"/>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dr:sp macro="" textlink="">
          <xdr:nvSpPr>
            <xdr:cNvPr id="0" name=""/>
            <xdr:cNvSpPr>
              <a:spLocks noTextEdit="1"/>
            </xdr:cNvSpPr>
          </xdr:nvSpPr>
          <xdr:spPr>
            <a:xfrm>
              <a:off x="14787033" y="53340"/>
              <a:ext cx="1841499" cy="2621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487680</xdr:colOff>
      <xdr:row>12</xdr:row>
      <xdr:rowOff>38100</xdr:rowOff>
    </xdr:from>
    <xdr:to>
      <xdr:col>20</xdr:col>
      <xdr:colOff>487678</xdr:colOff>
      <xdr:row>26</xdr:row>
      <xdr:rowOff>13335</xdr:rowOff>
    </xdr:to>
    <mc:AlternateContent xmlns:mc="http://schemas.openxmlformats.org/markup-compatibility/2006">
      <mc:Choice xmlns:a14="http://schemas.microsoft.com/office/drawing/2010/main" Requires="a14">
        <xdr:graphicFrame macro="">
          <xdr:nvGraphicFramePr>
            <xdr:cNvPr id="5" name="Products">
              <a:extLst>
                <a:ext uri="{FF2B5EF4-FFF2-40B4-BE49-F238E27FC236}">
                  <a16:creationId xmlns:a16="http://schemas.microsoft.com/office/drawing/2014/main" id="{7100FBE9-F114-F7F7-E284-A79E95B2581D}"/>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12552680" y="2482850"/>
              <a:ext cx="1841498" cy="2557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83820</xdr:colOff>
      <xdr:row>1</xdr:row>
      <xdr:rowOff>38100</xdr:rowOff>
    </xdr:from>
    <xdr:to>
      <xdr:col>19</xdr:col>
      <xdr:colOff>388620</xdr:colOff>
      <xdr:row>15</xdr:row>
      <xdr:rowOff>7620</xdr:rowOff>
    </xdr:to>
    <xdr:graphicFrame macro="">
      <xdr:nvGraphicFramePr>
        <xdr:cNvPr id="6" name="Chart 5">
          <a:extLst>
            <a:ext uri="{FF2B5EF4-FFF2-40B4-BE49-F238E27FC236}">
              <a16:creationId xmlns:a16="http://schemas.microsoft.com/office/drawing/2014/main" id="{42CA8931-D5D1-0182-A97A-0D65E0590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90986</xdr:colOff>
      <xdr:row>32</xdr:row>
      <xdr:rowOff>15923</xdr:rowOff>
    </xdr:from>
    <xdr:to>
      <xdr:col>27</xdr:col>
      <xdr:colOff>363941</xdr:colOff>
      <xdr:row>46</xdr:row>
      <xdr:rowOff>52317</xdr:rowOff>
    </xdr:to>
    <xdr:graphicFrame macro="">
      <xdr:nvGraphicFramePr>
        <xdr:cNvPr id="8" name="Chart 7">
          <a:extLst>
            <a:ext uri="{FF2B5EF4-FFF2-40B4-BE49-F238E27FC236}">
              <a16:creationId xmlns:a16="http://schemas.microsoft.com/office/drawing/2014/main" id="{CDA00229-4433-BF3A-612C-6A3FB7988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534537</xdr:colOff>
      <xdr:row>65</xdr:row>
      <xdr:rowOff>50042</xdr:rowOff>
    </xdr:from>
    <xdr:to>
      <xdr:col>17</xdr:col>
      <xdr:colOff>193343</xdr:colOff>
      <xdr:row>80</xdr:row>
      <xdr:rowOff>18197</xdr:rowOff>
    </xdr:to>
    <xdr:graphicFrame macro="">
      <xdr:nvGraphicFramePr>
        <xdr:cNvPr id="9" name="Chart 8">
          <a:extLst>
            <a:ext uri="{FF2B5EF4-FFF2-40B4-BE49-F238E27FC236}">
              <a16:creationId xmlns:a16="http://schemas.microsoft.com/office/drawing/2014/main" id="{9415CE81-2234-1C1C-6844-06113D512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38099</xdr:colOff>
      <xdr:row>0</xdr:row>
      <xdr:rowOff>30478</xdr:rowOff>
    </xdr:from>
    <xdr:to>
      <xdr:col>21</xdr:col>
      <xdr:colOff>575733</xdr:colOff>
      <xdr:row>37</xdr:row>
      <xdr:rowOff>146538</xdr:rowOff>
    </xdr:to>
    <xdr:sp macro="" textlink="">
      <xdr:nvSpPr>
        <xdr:cNvPr id="3" name="Rectangle: Rounded Corners 2">
          <a:extLst>
            <a:ext uri="{FF2B5EF4-FFF2-40B4-BE49-F238E27FC236}">
              <a16:creationId xmlns:a16="http://schemas.microsoft.com/office/drawing/2014/main" id="{BB2F1EEE-AB08-9B95-FD64-F08296CD4615}"/>
            </a:ext>
          </a:extLst>
        </xdr:cNvPr>
        <xdr:cNvSpPr/>
      </xdr:nvSpPr>
      <xdr:spPr>
        <a:xfrm>
          <a:off x="38099" y="30478"/>
          <a:ext cx="13257172" cy="6983829"/>
        </a:xfrm>
        <a:prstGeom prst="roundRect">
          <a:avLst>
            <a:gd name="adj" fmla="val 5059"/>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42333</xdr:colOff>
      <xdr:row>0</xdr:row>
      <xdr:rowOff>84666</xdr:rowOff>
    </xdr:from>
    <xdr:to>
      <xdr:col>20</xdr:col>
      <xdr:colOff>253999</xdr:colOff>
      <xdr:row>37</xdr:row>
      <xdr:rowOff>29308</xdr:rowOff>
    </xdr:to>
    <xdr:sp macro="" textlink="">
      <xdr:nvSpPr>
        <xdr:cNvPr id="5" name="Rectangle: Rounded Corners 4">
          <a:extLst>
            <a:ext uri="{FF2B5EF4-FFF2-40B4-BE49-F238E27FC236}">
              <a16:creationId xmlns:a16="http://schemas.microsoft.com/office/drawing/2014/main" id="{D0B6313F-F946-8533-4675-9BE3398A3845}"/>
            </a:ext>
          </a:extLst>
        </xdr:cNvPr>
        <xdr:cNvSpPr/>
      </xdr:nvSpPr>
      <xdr:spPr>
        <a:xfrm>
          <a:off x="1884781" y="84666"/>
          <a:ext cx="10652203" cy="6677538"/>
        </a:xfrm>
        <a:prstGeom prst="roundRect">
          <a:avLst>
            <a:gd name="adj" fmla="val 4425"/>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194733</xdr:colOff>
      <xdr:row>8</xdr:row>
      <xdr:rowOff>143934</xdr:rowOff>
    </xdr:from>
    <xdr:to>
      <xdr:col>2</xdr:col>
      <xdr:colOff>474133</xdr:colOff>
      <xdr:row>10</xdr:row>
      <xdr:rowOff>127000</xdr:rowOff>
    </xdr:to>
    <xdr:sp macro="" textlink="">
      <xdr:nvSpPr>
        <xdr:cNvPr id="7" name="Rectangle: Rounded Corners 6">
          <a:extLst>
            <a:ext uri="{FF2B5EF4-FFF2-40B4-BE49-F238E27FC236}">
              <a16:creationId xmlns:a16="http://schemas.microsoft.com/office/drawing/2014/main" id="{9517B187-A58B-4D53-FA71-A3F0F6D38DD3}"/>
            </a:ext>
          </a:extLst>
        </xdr:cNvPr>
        <xdr:cNvSpPr/>
      </xdr:nvSpPr>
      <xdr:spPr>
        <a:xfrm>
          <a:off x="194733" y="1634067"/>
          <a:ext cx="1498600" cy="355600"/>
        </a:xfrm>
        <a:prstGeom prst="roundRect">
          <a:avLst>
            <a:gd name="adj" fmla="val 21429"/>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600" b="1">
              <a:solidFill>
                <a:schemeClr val="tx1"/>
              </a:solidFill>
            </a:rPr>
            <a:t>DASHBOARD</a:t>
          </a:r>
          <a:endParaRPr lang="en-IN" sz="1100" b="1">
            <a:solidFill>
              <a:schemeClr val="tx1"/>
            </a:solidFill>
          </a:endParaRPr>
        </a:p>
      </xdr:txBody>
    </xdr:sp>
    <xdr:clientData/>
  </xdr:twoCellAnchor>
  <xdr:twoCellAnchor>
    <xdr:from>
      <xdr:col>0</xdr:col>
      <xdr:colOff>194733</xdr:colOff>
      <xdr:row>11</xdr:row>
      <xdr:rowOff>98214</xdr:rowOff>
    </xdr:from>
    <xdr:to>
      <xdr:col>2</xdr:col>
      <xdr:colOff>486832</xdr:colOff>
      <xdr:row>13</xdr:row>
      <xdr:rowOff>81280</xdr:rowOff>
    </xdr:to>
    <xdr:sp macro="" textlink="">
      <xdr:nvSpPr>
        <xdr:cNvPr id="8" name="Rectangle: Rounded Corners 7">
          <a:extLst>
            <a:ext uri="{FF2B5EF4-FFF2-40B4-BE49-F238E27FC236}">
              <a16:creationId xmlns:a16="http://schemas.microsoft.com/office/drawing/2014/main" id="{C7936038-548E-4353-ABFD-00C122750EC8}"/>
            </a:ext>
          </a:extLst>
        </xdr:cNvPr>
        <xdr:cNvSpPr/>
      </xdr:nvSpPr>
      <xdr:spPr>
        <a:xfrm>
          <a:off x="194733" y="2147147"/>
          <a:ext cx="1511299" cy="355600"/>
        </a:xfrm>
        <a:prstGeom prst="roundRect">
          <a:avLst>
            <a:gd name="adj" fmla="val 23810"/>
          </a:avLst>
        </a:prstGeom>
        <a:solidFill>
          <a:schemeClr val="accent3">
            <a:lumMod val="7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600" b="1"/>
            <a:t>PRODUCTS</a:t>
          </a:r>
          <a:endParaRPr lang="en-IN" sz="1100" b="1"/>
        </a:p>
      </xdr:txBody>
    </xdr:sp>
    <xdr:clientData/>
  </xdr:twoCellAnchor>
  <xdr:twoCellAnchor>
    <xdr:from>
      <xdr:col>0</xdr:col>
      <xdr:colOff>194733</xdr:colOff>
      <xdr:row>14</xdr:row>
      <xdr:rowOff>47414</xdr:rowOff>
    </xdr:from>
    <xdr:to>
      <xdr:col>2</xdr:col>
      <xdr:colOff>465666</xdr:colOff>
      <xdr:row>16</xdr:row>
      <xdr:rowOff>30480</xdr:rowOff>
    </xdr:to>
    <xdr:sp macro="" textlink="">
      <xdr:nvSpPr>
        <xdr:cNvPr id="9" name="Rectangle: Rounded Corners 8">
          <a:extLst>
            <a:ext uri="{FF2B5EF4-FFF2-40B4-BE49-F238E27FC236}">
              <a16:creationId xmlns:a16="http://schemas.microsoft.com/office/drawing/2014/main" id="{FCDB5D66-7C81-4456-A1D7-7BF3D0804594}"/>
            </a:ext>
          </a:extLst>
        </xdr:cNvPr>
        <xdr:cNvSpPr/>
      </xdr:nvSpPr>
      <xdr:spPr>
        <a:xfrm>
          <a:off x="194733" y="2655147"/>
          <a:ext cx="1490133" cy="355600"/>
        </a:xfrm>
        <a:prstGeom prst="roundRect">
          <a:avLst>
            <a:gd name="adj" fmla="val 23810"/>
          </a:avLst>
        </a:prstGeom>
        <a:solidFill>
          <a:schemeClr val="accent3">
            <a:lumMod val="7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SALESMAN  </a:t>
          </a:r>
          <a:endParaRPr lang="en-IN" sz="1100" b="1"/>
        </a:p>
      </xdr:txBody>
    </xdr:sp>
    <xdr:clientData/>
  </xdr:twoCellAnchor>
  <xdr:twoCellAnchor>
    <xdr:from>
      <xdr:col>0</xdr:col>
      <xdr:colOff>186267</xdr:colOff>
      <xdr:row>17</xdr:row>
      <xdr:rowOff>13547</xdr:rowOff>
    </xdr:from>
    <xdr:to>
      <xdr:col>2</xdr:col>
      <xdr:colOff>465667</xdr:colOff>
      <xdr:row>18</xdr:row>
      <xdr:rowOff>182880</xdr:rowOff>
    </xdr:to>
    <xdr:sp macro="" textlink="">
      <xdr:nvSpPr>
        <xdr:cNvPr id="10" name="Rectangle: Rounded Corners 9">
          <a:extLst>
            <a:ext uri="{FF2B5EF4-FFF2-40B4-BE49-F238E27FC236}">
              <a16:creationId xmlns:a16="http://schemas.microsoft.com/office/drawing/2014/main" id="{4C394E0B-9C67-4B00-85FE-0CC022BDFEED}"/>
            </a:ext>
          </a:extLst>
        </xdr:cNvPr>
        <xdr:cNvSpPr/>
      </xdr:nvSpPr>
      <xdr:spPr>
        <a:xfrm>
          <a:off x="186267" y="3180080"/>
          <a:ext cx="1498600" cy="355600"/>
        </a:xfrm>
        <a:prstGeom prst="roundRect">
          <a:avLst>
            <a:gd name="adj" fmla="val 23810"/>
          </a:avLst>
        </a:prstGeom>
        <a:solidFill>
          <a:schemeClr val="accent3">
            <a:lumMod val="7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600" b="1"/>
            <a:t>ABOUT</a:t>
          </a:r>
          <a:endParaRPr lang="en-IN" sz="1100" b="1"/>
        </a:p>
      </xdr:txBody>
    </xdr:sp>
    <xdr:clientData/>
  </xdr:twoCellAnchor>
  <xdr:twoCellAnchor>
    <xdr:from>
      <xdr:col>12</xdr:col>
      <xdr:colOff>110066</xdr:colOff>
      <xdr:row>12</xdr:row>
      <xdr:rowOff>143933</xdr:rowOff>
    </xdr:from>
    <xdr:to>
      <xdr:col>20</xdr:col>
      <xdr:colOff>76199</xdr:colOff>
      <xdr:row>24</xdr:row>
      <xdr:rowOff>136769</xdr:rowOff>
    </xdr:to>
    <xdr:sp macro="" textlink="">
      <xdr:nvSpPr>
        <xdr:cNvPr id="11" name="Rectangle 10">
          <a:extLst>
            <a:ext uri="{FF2B5EF4-FFF2-40B4-BE49-F238E27FC236}">
              <a16:creationId xmlns:a16="http://schemas.microsoft.com/office/drawing/2014/main" id="{99EE863E-8C3B-B8BB-3DC3-1C35B415C081}"/>
            </a:ext>
          </a:extLst>
        </xdr:cNvPr>
        <xdr:cNvSpPr/>
      </xdr:nvSpPr>
      <xdr:spPr>
        <a:xfrm>
          <a:off x="7378374" y="2371318"/>
          <a:ext cx="4811671" cy="22202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152163</xdr:colOff>
      <xdr:row>26</xdr:row>
      <xdr:rowOff>64061</xdr:rowOff>
    </xdr:from>
    <xdr:to>
      <xdr:col>20</xdr:col>
      <xdr:colOff>133565</xdr:colOff>
      <xdr:row>36</xdr:row>
      <xdr:rowOff>74192</xdr:rowOff>
    </xdr:to>
    <xdr:sp macro="" textlink="">
      <xdr:nvSpPr>
        <xdr:cNvPr id="12" name="Rectangle 11">
          <a:extLst>
            <a:ext uri="{FF2B5EF4-FFF2-40B4-BE49-F238E27FC236}">
              <a16:creationId xmlns:a16="http://schemas.microsoft.com/office/drawing/2014/main" id="{E68BB86A-3AF9-468B-8DFE-0B04CD660F19}"/>
            </a:ext>
          </a:extLst>
        </xdr:cNvPr>
        <xdr:cNvSpPr/>
      </xdr:nvSpPr>
      <xdr:spPr>
        <a:xfrm>
          <a:off x="7420471" y="4890061"/>
          <a:ext cx="4826940" cy="186628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BY PLACES</a:t>
          </a:r>
        </a:p>
      </xdr:txBody>
    </xdr:sp>
    <xdr:clientData/>
  </xdr:twoCellAnchor>
  <xdr:twoCellAnchor>
    <xdr:from>
      <xdr:col>3</xdr:col>
      <xdr:colOff>56427</xdr:colOff>
      <xdr:row>25</xdr:row>
      <xdr:rowOff>185487</xdr:rowOff>
    </xdr:from>
    <xdr:to>
      <xdr:col>11</xdr:col>
      <xdr:colOff>535120</xdr:colOff>
      <xdr:row>36</xdr:row>
      <xdr:rowOff>48909</xdr:rowOff>
    </xdr:to>
    <xdr:sp macro="" textlink="">
      <xdr:nvSpPr>
        <xdr:cNvPr id="13" name="Rectangle 12">
          <a:extLst>
            <a:ext uri="{FF2B5EF4-FFF2-40B4-BE49-F238E27FC236}">
              <a16:creationId xmlns:a16="http://schemas.microsoft.com/office/drawing/2014/main" id="{87ED135D-D560-4E2F-BD35-D37D6B9BD63A}"/>
            </a:ext>
          </a:extLst>
        </xdr:cNvPr>
        <xdr:cNvSpPr/>
      </xdr:nvSpPr>
      <xdr:spPr>
        <a:xfrm>
          <a:off x="1873504" y="4825872"/>
          <a:ext cx="5324231" cy="1905191"/>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BY PRODUCTS</a:t>
          </a:r>
        </a:p>
      </xdr:txBody>
    </xdr:sp>
    <xdr:clientData/>
  </xdr:twoCellAnchor>
  <xdr:twoCellAnchor>
    <xdr:from>
      <xdr:col>3</xdr:col>
      <xdr:colOff>212171</xdr:colOff>
      <xdr:row>18</xdr:row>
      <xdr:rowOff>154781</xdr:rowOff>
    </xdr:from>
    <xdr:to>
      <xdr:col>7</xdr:col>
      <xdr:colOff>29822</xdr:colOff>
      <xdr:row>23</xdr:row>
      <xdr:rowOff>7206</xdr:rowOff>
    </xdr:to>
    <xdr:sp macro="" textlink="">
      <xdr:nvSpPr>
        <xdr:cNvPr id="14" name="Rectangle: Rounded Corners 13">
          <a:extLst>
            <a:ext uri="{FF2B5EF4-FFF2-40B4-BE49-F238E27FC236}">
              <a16:creationId xmlns:a16="http://schemas.microsoft.com/office/drawing/2014/main" id="{D5C74E0E-4F8C-542F-069F-C9DDA2093745}"/>
            </a:ext>
          </a:extLst>
        </xdr:cNvPr>
        <xdr:cNvSpPr/>
      </xdr:nvSpPr>
      <xdr:spPr>
        <a:xfrm>
          <a:off x="2033827" y="3369469"/>
          <a:ext cx="2246526" cy="745393"/>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421438</xdr:colOff>
      <xdr:row>18</xdr:row>
      <xdr:rowOff>119062</xdr:rowOff>
    </xdr:from>
    <xdr:to>
      <xdr:col>11</xdr:col>
      <xdr:colOff>243638</xdr:colOff>
      <xdr:row>23</xdr:row>
      <xdr:rowOff>21484</xdr:rowOff>
    </xdr:to>
    <xdr:sp macro="" textlink="">
      <xdr:nvSpPr>
        <xdr:cNvPr id="15" name="Rectangle: Rounded Corners 14">
          <a:extLst>
            <a:ext uri="{FF2B5EF4-FFF2-40B4-BE49-F238E27FC236}">
              <a16:creationId xmlns:a16="http://schemas.microsoft.com/office/drawing/2014/main" id="{036309BE-DC85-4E06-81D7-F06BA97E6393}"/>
            </a:ext>
          </a:extLst>
        </xdr:cNvPr>
        <xdr:cNvSpPr/>
      </xdr:nvSpPr>
      <xdr:spPr>
        <a:xfrm>
          <a:off x="4671969" y="3333750"/>
          <a:ext cx="2251075" cy="79539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440772</xdr:colOff>
      <xdr:row>18</xdr:row>
      <xdr:rowOff>159224</xdr:rowOff>
    </xdr:from>
    <xdr:to>
      <xdr:col>6</xdr:col>
      <xdr:colOff>593172</xdr:colOff>
      <xdr:row>23</xdr:row>
      <xdr:rowOff>11375</xdr:rowOff>
    </xdr:to>
    <xdr:sp macro="" textlink="">
      <xdr:nvSpPr>
        <xdr:cNvPr id="16" name="Rectangle: Rounded Corners 15">
          <a:extLst>
            <a:ext uri="{FF2B5EF4-FFF2-40B4-BE49-F238E27FC236}">
              <a16:creationId xmlns:a16="http://schemas.microsoft.com/office/drawing/2014/main" id="{99167CAB-5DB6-4F81-9796-9D4ADD0E7854}"/>
            </a:ext>
          </a:extLst>
        </xdr:cNvPr>
        <xdr:cNvSpPr/>
      </xdr:nvSpPr>
      <xdr:spPr>
        <a:xfrm>
          <a:off x="2266160" y="3434687"/>
          <a:ext cx="1977788" cy="7620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a:t>
          </a:r>
          <a:r>
            <a:rPr lang="en-IN" sz="1200" b="1" baseline="0">
              <a:solidFill>
                <a:schemeClr val="tx1"/>
              </a:solidFill>
            </a:rPr>
            <a:t> </a:t>
          </a:r>
          <a:r>
            <a:rPr lang="en-IN" sz="1200" b="1">
              <a:solidFill>
                <a:schemeClr val="tx1"/>
              </a:solidFill>
            </a:rPr>
            <a:t> TOTAL</a:t>
          </a:r>
          <a:r>
            <a:rPr lang="en-IN" sz="1600"/>
            <a:t> </a:t>
          </a:r>
          <a:r>
            <a:rPr lang="en-IN" sz="1200" b="1">
              <a:solidFill>
                <a:schemeClr val="tx1"/>
              </a:solidFill>
            </a:rPr>
            <a:t>AMOUNT</a:t>
          </a:r>
        </a:p>
        <a:p>
          <a:pPr algn="l"/>
          <a:r>
            <a:rPr lang="en-IN" sz="900" b="1">
              <a:solidFill>
                <a:schemeClr val="tx1"/>
              </a:solidFill>
            </a:rPr>
            <a:t>                           </a:t>
          </a:r>
          <a:r>
            <a:rPr lang="en-IN" sz="1600" b="1">
              <a:solidFill>
                <a:schemeClr val="tx1"/>
              </a:solidFill>
            </a:rPr>
            <a:t>98,36,516</a:t>
          </a:r>
          <a:endParaRPr lang="en-IN" sz="1050" b="1">
            <a:solidFill>
              <a:schemeClr val="tx1"/>
            </a:solidFill>
          </a:endParaRPr>
        </a:p>
      </xdr:txBody>
    </xdr:sp>
    <xdr:clientData/>
  </xdr:twoCellAnchor>
  <xdr:twoCellAnchor>
    <xdr:from>
      <xdr:col>8</xdr:col>
      <xdr:colOff>4141</xdr:colOff>
      <xdr:row>18</xdr:row>
      <xdr:rowOff>124571</xdr:rowOff>
    </xdr:from>
    <xdr:to>
      <xdr:col>11</xdr:col>
      <xdr:colOff>161090</xdr:colOff>
      <xdr:row>23</xdr:row>
      <xdr:rowOff>20952</xdr:rowOff>
    </xdr:to>
    <xdr:sp macro="" textlink="">
      <xdr:nvSpPr>
        <xdr:cNvPr id="17" name="Rectangle: Rounded Corners 16">
          <a:extLst>
            <a:ext uri="{FF2B5EF4-FFF2-40B4-BE49-F238E27FC236}">
              <a16:creationId xmlns:a16="http://schemas.microsoft.com/office/drawing/2014/main" id="{15292AA2-2672-4791-B780-6E7ADE851124}"/>
            </a:ext>
          </a:extLst>
        </xdr:cNvPr>
        <xdr:cNvSpPr/>
      </xdr:nvSpPr>
      <xdr:spPr>
        <a:xfrm>
          <a:off x="4861891" y="3339259"/>
          <a:ext cx="1978605" cy="7893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                             TOTAL SALES</a:t>
          </a:r>
        </a:p>
        <a:p>
          <a:pPr algn="l"/>
          <a:r>
            <a:rPr lang="en-IN" sz="900" b="1">
              <a:solidFill>
                <a:schemeClr val="tx1"/>
              </a:solidFill>
            </a:rPr>
            <a:t>                                    </a:t>
          </a:r>
          <a:r>
            <a:rPr lang="en-IN" sz="1600" b="1">
              <a:solidFill>
                <a:schemeClr val="tx1"/>
              </a:solidFill>
            </a:rPr>
            <a:t>429</a:t>
          </a:r>
          <a:endParaRPr lang="en-IN" sz="900" b="1">
            <a:solidFill>
              <a:schemeClr val="tx1"/>
            </a:solidFill>
          </a:endParaRPr>
        </a:p>
      </xdr:txBody>
    </xdr:sp>
    <xdr:clientData/>
  </xdr:twoCellAnchor>
  <xdr:twoCellAnchor editAs="oneCell">
    <xdr:from>
      <xdr:col>12</xdr:col>
      <xdr:colOff>152399</xdr:colOff>
      <xdr:row>12</xdr:row>
      <xdr:rowOff>160867</xdr:rowOff>
    </xdr:from>
    <xdr:to>
      <xdr:col>14</xdr:col>
      <xdr:colOff>109829</xdr:colOff>
      <xdr:row>14</xdr:row>
      <xdr:rowOff>87064</xdr:rowOff>
    </xdr:to>
    <xdr:pic>
      <xdr:nvPicPr>
        <xdr:cNvPr id="27" name="Picture 26">
          <a:extLst>
            <a:ext uri="{FF2B5EF4-FFF2-40B4-BE49-F238E27FC236}">
              <a16:creationId xmlns:a16="http://schemas.microsoft.com/office/drawing/2014/main" id="{7B57446C-787E-B10A-78B8-9BBC3AB7FDC2}"/>
            </a:ext>
          </a:extLst>
        </xdr:cNvPr>
        <xdr:cNvPicPr>
          <a:picLocks noChangeAspect="1"/>
        </xdr:cNvPicPr>
      </xdr:nvPicPr>
      <xdr:blipFill>
        <a:blip xmlns:r="http://schemas.openxmlformats.org/officeDocument/2006/relationships" r:embed="rId1"/>
        <a:stretch>
          <a:fillRect/>
        </a:stretch>
      </xdr:blipFill>
      <xdr:spPr>
        <a:xfrm>
          <a:off x="7467599" y="2396067"/>
          <a:ext cx="1176630" cy="298730"/>
        </a:xfrm>
        <a:prstGeom prst="rect">
          <a:avLst/>
        </a:prstGeom>
      </xdr:spPr>
    </xdr:pic>
    <xdr:clientData/>
  </xdr:twoCellAnchor>
  <xdr:twoCellAnchor>
    <xdr:from>
      <xdr:col>4</xdr:col>
      <xdr:colOff>160993</xdr:colOff>
      <xdr:row>15</xdr:row>
      <xdr:rowOff>48147</xdr:rowOff>
    </xdr:from>
    <xdr:to>
      <xdr:col>8</xdr:col>
      <xdr:colOff>214313</xdr:colOff>
      <xdr:row>18</xdr:row>
      <xdr:rowOff>23812</xdr:rowOff>
    </xdr:to>
    <xdr:sp macro="" textlink="">
      <xdr:nvSpPr>
        <xdr:cNvPr id="30" name="Rectangle 29">
          <a:extLst>
            <a:ext uri="{FF2B5EF4-FFF2-40B4-BE49-F238E27FC236}">
              <a16:creationId xmlns:a16="http://schemas.microsoft.com/office/drawing/2014/main" id="{48E716E3-F4CA-CF54-FB76-778C3BF3812E}"/>
            </a:ext>
          </a:extLst>
        </xdr:cNvPr>
        <xdr:cNvSpPr/>
      </xdr:nvSpPr>
      <xdr:spPr>
        <a:xfrm>
          <a:off x="2589868" y="2727053"/>
          <a:ext cx="2482195" cy="511447"/>
        </a:xfrm>
        <a:prstGeom prst="rect">
          <a:avLst/>
        </a:prstGeom>
        <a:solidFill>
          <a:schemeClr val="accent3">
            <a:lumMod val="40000"/>
            <a:lumOff val="6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accent3">
                  <a:lumMod val="75000"/>
                </a:schemeClr>
              </a:solidFill>
            </a:rPr>
            <a:t>  ANALYTICS</a:t>
          </a:r>
          <a:endParaRPr lang="en-IN" sz="2000" b="1">
            <a:solidFill>
              <a:schemeClr val="accent3">
                <a:lumMod val="75000"/>
              </a:schemeClr>
            </a:solidFill>
          </a:endParaRPr>
        </a:p>
      </xdr:txBody>
    </xdr:sp>
    <xdr:clientData/>
  </xdr:twoCellAnchor>
  <xdr:twoCellAnchor editAs="oneCell">
    <xdr:from>
      <xdr:col>3</xdr:col>
      <xdr:colOff>42333</xdr:colOff>
      <xdr:row>0</xdr:row>
      <xdr:rowOff>84665</xdr:rowOff>
    </xdr:from>
    <xdr:to>
      <xdr:col>11</xdr:col>
      <xdr:colOff>186267</xdr:colOff>
      <xdr:row>7</xdr:row>
      <xdr:rowOff>110065</xdr:rowOff>
    </xdr:to>
    <mc:AlternateContent xmlns:mc="http://schemas.openxmlformats.org/markup-compatibility/2006">
      <mc:Choice xmlns:tsle="http://schemas.microsoft.com/office/drawing/2012/timeslicer" Requires="tsle">
        <xdr:graphicFrame macro="">
          <xdr:nvGraphicFramePr>
            <xdr:cNvPr id="2" name="Date 1">
              <a:extLst>
                <a:ext uri="{FF2B5EF4-FFF2-40B4-BE49-F238E27FC236}">
                  <a16:creationId xmlns:a16="http://schemas.microsoft.com/office/drawing/2014/main" id="{2CF9F496-1CAF-492F-B5E7-1B5CE41E615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863989" y="84665"/>
              <a:ext cx="5001684" cy="12755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237068</xdr:colOff>
      <xdr:row>0</xdr:row>
      <xdr:rowOff>84667</xdr:rowOff>
    </xdr:from>
    <xdr:to>
      <xdr:col>20</xdr:col>
      <xdr:colOff>143934</xdr:colOff>
      <xdr:row>7</xdr:row>
      <xdr:rowOff>118533</xdr:rowOff>
    </xdr:to>
    <mc:AlternateContent xmlns:mc="http://schemas.openxmlformats.org/markup-compatibility/2006">
      <mc:Choice xmlns:a14="http://schemas.microsoft.com/office/drawing/2010/main" Requires="a14">
        <xdr:graphicFrame macro="">
          <xdr:nvGraphicFramePr>
            <xdr:cNvPr id="6" name="Place 1">
              <a:extLst>
                <a:ext uri="{FF2B5EF4-FFF2-40B4-BE49-F238E27FC236}">
                  <a16:creationId xmlns:a16="http://schemas.microsoft.com/office/drawing/2014/main" id="{CA7267C4-6F49-490C-8825-C3C7AD00F9EB}"/>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dr:sp macro="" textlink="">
          <xdr:nvSpPr>
            <xdr:cNvPr id="0" name=""/>
            <xdr:cNvSpPr>
              <a:spLocks noTextEdit="1"/>
            </xdr:cNvSpPr>
          </xdr:nvSpPr>
          <xdr:spPr>
            <a:xfrm>
              <a:off x="6916474" y="84667"/>
              <a:ext cx="5371835" cy="1284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8</xdr:row>
      <xdr:rowOff>33867</xdr:rowOff>
    </xdr:from>
    <xdr:to>
      <xdr:col>20</xdr:col>
      <xdr:colOff>127001</xdr:colOff>
      <xdr:row>12</xdr:row>
      <xdr:rowOff>42333</xdr:rowOff>
    </xdr:to>
    <mc:AlternateContent xmlns:mc="http://schemas.openxmlformats.org/markup-compatibility/2006">
      <mc:Choice xmlns:a14="http://schemas.microsoft.com/office/drawing/2010/main" Requires="a14">
        <xdr:graphicFrame macro="">
          <xdr:nvGraphicFramePr>
            <xdr:cNvPr id="18" name="Products 1">
              <a:extLst>
                <a:ext uri="{FF2B5EF4-FFF2-40B4-BE49-F238E27FC236}">
                  <a16:creationId xmlns:a16="http://schemas.microsoft.com/office/drawing/2014/main" id="{55CBF9B4-AF9D-4EE5-846D-80FB864373A6}"/>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dr:sp macro="" textlink="">
          <xdr:nvSpPr>
            <xdr:cNvPr id="0" name=""/>
            <xdr:cNvSpPr>
              <a:spLocks noTextEdit="1"/>
            </xdr:cNvSpPr>
          </xdr:nvSpPr>
          <xdr:spPr>
            <a:xfrm>
              <a:off x="1906323" y="1462617"/>
              <a:ext cx="10365053" cy="722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128187</xdr:colOff>
      <xdr:row>14</xdr:row>
      <xdr:rowOff>108774</xdr:rowOff>
    </xdr:from>
    <xdr:to>
      <xdr:col>20</xdr:col>
      <xdr:colOff>58617</xdr:colOff>
      <xdr:row>24</xdr:row>
      <xdr:rowOff>131520</xdr:rowOff>
    </xdr:to>
    <xdr:graphicFrame macro="">
      <xdr:nvGraphicFramePr>
        <xdr:cNvPr id="21" name="Chart 20">
          <a:extLst>
            <a:ext uri="{FF2B5EF4-FFF2-40B4-BE49-F238E27FC236}">
              <a16:creationId xmlns:a16="http://schemas.microsoft.com/office/drawing/2014/main" id="{6C1872BB-99D8-4301-B45C-AA0D26357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137160</xdr:colOff>
      <xdr:row>27</xdr:row>
      <xdr:rowOff>119941</xdr:rowOff>
    </xdr:from>
    <xdr:to>
      <xdr:col>20</xdr:col>
      <xdr:colOff>137160</xdr:colOff>
      <xdr:row>36</xdr:row>
      <xdr:rowOff>45720</xdr:rowOff>
    </xdr:to>
    <xdr:graphicFrame macro="">
      <xdr:nvGraphicFramePr>
        <xdr:cNvPr id="22" name="Chart 21">
          <a:extLst>
            <a:ext uri="{FF2B5EF4-FFF2-40B4-BE49-F238E27FC236}">
              <a16:creationId xmlns:a16="http://schemas.microsoft.com/office/drawing/2014/main" id="{B0ADD02D-4240-4AD0-811A-A69087E49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91440</xdr:colOff>
      <xdr:row>28</xdr:row>
      <xdr:rowOff>15240</xdr:rowOff>
    </xdr:from>
    <xdr:to>
      <xdr:col>11</xdr:col>
      <xdr:colOff>502920</xdr:colOff>
      <xdr:row>36</xdr:row>
      <xdr:rowOff>45720</xdr:rowOff>
    </xdr:to>
    <xdr:graphicFrame macro="">
      <xdr:nvGraphicFramePr>
        <xdr:cNvPr id="24" name="Chart 23">
          <a:extLst>
            <a:ext uri="{FF2B5EF4-FFF2-40B4-BE49-F238E27FC236}">
              <a16:creationId xmlns:a16="http://schemas.microsoft.com/office/drawing/2014/main" id="{32EDB8B6-BDFC-4D82-9085-20B29DE3F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125104</xdr:colOff>
      <xdr:row>19</xdr:row>
      <xdr:rowOff>125104</xdr:rowOff>
    </xdr:from>
    <xdr:to>
      <xdr:col>9</xdr:col>
      <xdr:colOff>170596</xdr:colOff>
      <xdr:row>22</xdr:row>
      <xdr:rowOff>79612</xdr:rowOff>
    </xdr:to>
    <xdr:pic>
      <xdr:nvPicPr>
        <xdr:cNvPr id="33" name="Graphic 32" descr="Business Growth with solid fill">
          <a:extLst>
            <a:ext uri="{FF2B5EF4-FFF2-40B4-BE49-F238E27FC236}">
              <a16:creationId xmlns:a16="http://schemas.microsoft.com/office/drawing/2014/main" id="{63CA0F09-B085-87FD-9EFA-4F444CA252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92805" y="3582537"/>
          <a:ext cx="653955" cy="500418"/>
        </a:xfrm>
        <a:prstGeom prst="rect">
          <a:avLst/>
        </a:prstGeom>
      </xdr:spPr>
    </xdr:pic>
    <xdr:clientData/>
  </xdr:twoCellAnchor>
  <xdr:twoCellAnchor editAs="oneCell">
    <xdr:from>
      <xdr:col>3</xdr:col>
      <xdr:colOff>204715</xdr:colOff>
      <xdr:row>14</xdr:row>
      <xdr:rowOff>11373</xdr:rowOff>
    </xdr:from>
    <xdr:to>
      <xdr:col>4</xdr:col>
      <xdr:colOff>318447</xdr:colOff>
      <xdr:row>18</xdr:row>
      <xdr:rowOff>11373</xdr:rowOff>
    </xdr:to>
    <xdr:pic>
      <xdr:nvPicPr>
        <xdr:cNvPr id="35" name="Graphic 34" descr="Bar chart with solid fill">
          <a:extLst>
            <a:ext uri="{FF2B5EF4-FFF2-40B4-BE49-F238E27FC236}">
              <a16:creationId xmlns:a16="http://schemas.microsoft.com/office/drawing/2014/main" id="{1349FB30-EC53-530B-4459-C489601541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47163" y="2558955"/>
          <a:ext cx="727881" cy="727881"/>
        </a:xfrm>
        <a:prstGeom prst="rect">
          <a:avLst/>
        </a:prstGeom>
      </xdr:spPr>
    </xdr:pic>
    <xdr:clientData/>
  </xdr:twoCellAnchor>
  <xdr:twoCellAnchor editAs="oneCell">
    <xdr:from>
      <xdr:col>3</xdr:col>
      <xdr:colOff>470015</xdr:colOff>
      <xdr:row>19</xdr:row>
      <xdr:rowOff>45493</xdr:rowOff>
    </xdr:from>
    <xdr:to>
      <xdr:col>4</xdr:col>
      <xdr:colOff>454924</xdr:colOff>
      <xdr:row>22</xdr:row>
      <xdr:rowOff>45493</xdr:rowOff>
    </xdr:to>
    <xdr:pic>
      <xdr:nvPicPr>
        <xdr:cNvPr id="38" name="Picture 37">
          <a:extLst>
            <a:ext uri="{FF2B5EF4-FFF2-40B4-BE49-F238E27FC236}">
              <a16:creationId xmlns:a16="http://schemas.microsoft.com/office/drawing/2014/main" id="{4A896E3E-E794-DD5B-D3FF-E6FCC5E0600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rot="10800000" flipV="1">
          <a:off x="2295403" y="3502926"/>
          <a:ext cx="593372" cy="545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oorthi M" refreshedDate="46218.986433564816" createdVersion="8" refreshedVersion="8" minRefreshableVersion="3" recordCount="14" xr:uid="{26B57FEA-7787-4022-855E-B2AF7577D54E}">
  <cacheSource type="worksheet">
    <worksheetSource ref="A1:G15" sheet="MASTER DATA"/>
  </cacheSource>
  <cacheFields count="9">
    <cacheField name="Date" numFmtId="14">
      <sharedItems containsSemiMixedTypes="0" containsNonDate="0" containsDate="1" containsString="0" minDate="2020-01-01T00:00:00" maxDate="2020-02-23T00:00:00" count="14">
        <d v="2020-01-01T00:00:00"/>
        <d v="2020-01-05T00:00:00"/>
        <d v="2020-01-09T00:00:00"/>
        <d v="2020-01-13T00:00:00"/>
        <d v="2020-01-17T00:00:00"/>
        <d v="2020-01-21T00:00:00"/>
        <d v="2020-01-25T00:00:00"/>
        <d v="2020-01-29T00:00:00"/>
        <d v="2020-02-02T00:00:00"/>
        <d v="2020-02-06T00:00:00"/>
        <d v="2020-02-10T00:00:00"/>
        <d v="2020-02-14T00:00:00"/>
        <d v="2020-02-18T00:00:00"/>
        <d v="2020-02-22T00:00:00"/>
      </sharedItems>
      <fieldGroup par="8"/>
    </cacheField>
    <cacheField name="Sales Persons" numFmtId="0">
      <sharedItems/>
    </cacheField>
    <cacheField name="Products" numFmtId="0">
      <sharedItems count="6">
        <s v="Furniture"/>
        <s v="LED TV's"/>
        <s v="4K LED TV's"/>
        <s v="Mobiles"/>
        <s v="Laptops"/>
        <s v="Speakers"/>
      </sharedItems>
    </cacheField>
    <cacheField name="Place" numFmtId="0">
      <sharedItems count="5">
        <s v="Guntur"/>
        <s v="Vijayawada"/>
        <s v="Bapatla"/>
        <s v="Tenali"/>
        <s v="Chirala"/>
      </sharedItems>
    </cacheField>
    <cacheField name="Price" numFmtId="0">
      <sharedItems containsSemiMixedTypes="0" containsString="0" containsNumber="1" containsInteger="1" minValue="499" maxValue="86000"/>
    </cacheField>
    <cacheField name="Units" numFmtId="0">
      <sharedItems containsSemiMixedTypes="0" containsString="0" containsNumber="1" containsInteger="1" minValue="4" maxValue="50"/>
    </cacheField>
    <cacheField name="Amount" numFmtId="3">
      <sharedItems containsSemiMixedTypes="0" containsString="0" containsNumber="1" containsInteger="1" minValue="7996" maxValue="4250000"/>
    </cacheField>
    <cacheField name="Days (Date)" numFmtId="0" databaseField="0">
      <fieldGroup base="0">
        <rangePr groupBy="days" startDate="2020-01-01T00:00:00" endDate="2020-02-23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2-2020"/>
        </groupItems>
      </fieldGroup>
    </cacheField>
    <cacheField name="Months (Date)" numFmtId="0" databaseField="0">
      <fieldGroup base="0">
        <rangePr groupBy="months" startDate="2020-01-01T00:00:00" endDate="2020-02-23T00:00:00"/>
        <groupItems count="14">
          <s v="&lt;01-01-2020"/>
          <s v="Jan"/>
          <s v="Feb"/>
          <s v="Mar"/>
          <s v="Apr"/>
          <s v="May"/>
          <s v="Jun"/>
          <s v="Jul"/>
          <s v="Aug"/>
          <s v="Sep"/>
          <s v="Oct"/>
          <s v="Nov"/>
          <s v="Dec"/>
          <s v="&gt;23-02-2020"/>
        </groupItems>
      </fieldGroup>
    </cacheField>
  </cacheFields>
  <extLst>
    <ext xmlns:x14="http://schemas.microsoft.com/office/spreadsheetml/2009/9/main" uri="{725AE2AE-9491-48be-B2B4-4EB974FC3084}">
      <x14:pivotCacheDefinition pivotCacheId="1645875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s v="Ramesh"/>
    <x v="0"/>
    <x v="0"/>
    <n v="499"/>
    <n v="50"/>
    <n v="24950"/>
  </r>
  <r>
    <x v="1"/>
    <s v="Kiran"/>
    <x v="0"/>
    <x v="1"/>
    <n v="5599"/>
    <n v="33"/>
    <n v="184767"/>
  </r>
  <r>
    <x v="2"/>
    <s v="Gopi"/>
    <x v="1"/>
    <x v="2"/>
    <n v="1450"/>
    <n v="44"/>
    <n v="63800"/>
  </r>
  <r>
    <x v="3"/>
    <s v="Mahesh"/>
    <x v="2"/>
    <x v="0"/>
    <n v="85000"/>
    <n v="50"/>
    <n v="4250000"/>
  </r>
  <r>
    <x v="4"/>
    <s v="Mahesh"/>
    <x v="3"/>
    <x v="3"/>
    <n v="15000"/>
    <n v="11"/>
    <n v="165000"/>
  </r>
  <r>
    <x v="5"/>
    <s v="Kiran"/>
    <x v="0"/>
    <x v="3"/>
    <n v="2550"/>
    <n v="48"/>
    <n v="122400"/>
  </r>
  <r>
    <x v="6"/>
    <s v="Ganesh"/>
    <x v="4"/>
    <x v="2"/>
    <n v="33000"/>
    <n v="26"/>
    <n v="858000"/>
  </r>
  <r>
    <x v="7"/>
    <s v="Ramesh"/>
    <x v="2"/>
    <x v="4"/>
    <n v="86000"/>
    <n v="39"/>
    <n v="3354000"/>
  </r>
  <r>
    <x v="8"/>
    <s v="Gopi"/>
    <x v="5"/>
    <x v="3"/>
    <n v="990"/>
    <n v="9"/>
    <n v="8910"/>
  </r>
  <r>
    <x v="9"/>
    <s v="Ramesh"/>
    <x v="0"/>
    <x v="0"/>
    <n v="5599"/>
    <n v="41"/>
    <n v="229559"/>
  </r>
  <r>
    <x v="10"/>
    <s v="Ganesh"/>
    <x v="4"/>
    <x v="2"/>
    <n v="499"/>
    <n v="39"/>
    <n v="19461"/>
  </r>
  <r>
    <x v="11"/>
    <s v="Kiran"/>
    <x v="5"/>
    <x v="0"/>
    <n v="1999"/>
    <n v="4"/>
    <n v="7996"/>
  </r>
  <r>
    <x v="12"/>
    <s v="Mahesh"/>
    <x v="2"/>
    <x v="0"/>
    <n v="63400"/>
    <n v="8"/>
    <n v="507200"/>
  </r>
  <r>
    <x v="13"/>
    <s v="Prathap"/>
    <x v="5"/>
    <x v="3"/>
    <n v="1499"/>
    <n v="27"/>
    <n v="404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8EC71-F36E-40D5-A9C9-F3EB5970A44D}" name="PivotTable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D108:E115"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Units" fld="5" baseField="0" baseItem="0"/>
  </dataFields>
  <pivotTableStyleInfo name="PivotStyleLight16" showRowHeaders="1" showColHeaders="1" showRowStripes="0" showColStripes="0" showLastColumn="1"/>
  <filters count="1">
    <filter fld="0" type="dateBetween" evalOrder="-1" id="8" name="Date">
      <autoFilter ref="A1">
        <filterColumn colId="0">
          <customFilters and="1">
            <customFilter operator="greaterThanOrEqual" val="43831"/>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1FED61-53A7-4692-AC96-2D575ABF0090}" name="PivotTable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E85:F92"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items count="7">
        <item x="2"/>
        <item x="0"/>
        <item x="4"/>
        <item x="1"/>
        <item x="3"/>
        <item x="5"/>
        <item t="default"/>
      </items>
    </pivotField>
    <pivotField showAll="0">
      <items count="6">
        <item x="2"/>
        <item x="4"/>
        <item x="0"/>
        <item x="3"/>
        <item x="1"/>
        <item t="default"/>
      </items>
    </pivotField>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6" baseField="0" baseItem="0" numFmtId="3"/>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8" name="Date">
      <autoFilter ref="A1">
        <filterColumn colId="0">
          <customFilters and="1">
            <customFilter operator="greaterThanOrEqual" val="43831"/>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7C2B0-F08E-4E12-A6A9-01A09CE4C330}"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C56:D63"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8" name="Date">
      <autoFilter ref="A1">
        <filterColumn colId="0">
          <customFilters and="1">
            <customFilter operator="greaterThanOrEqual" val="43831"/>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C39C2-1B19-4921-A1CB-4D64AD518ED9}"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37:C43"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axis="axisRow" showAll="0">
      <items count="6">
        <item x="2"/>
        <item x="4"/>
        <item x="0"/>
        <item x="3"/>
        <item x="1"/>
        <item t="default"/>
      </items>
    </pivotField>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dataFields count="1">
    <dataField name="Sum of Amount" fld="6" baseField="0" baseItem="0" numFmtId="3"/>
  </dataFields>
  <chartFormats count="6">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8" name="Date">
      <autoFilter ref="A1">
        <filterColumn colId="0">
          <customFilters and="1">
            <customFilter operator="greaterThanOrEqual" val="43831"/>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C8EED5-DC6D-412F-B6A5-7481FA355B49}"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2:C5"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showAll="0">
      <items count="6">
        <item x="2"/>
        <item x="4"/>
        <item x="0"/>
        <item x="3"/>
        <item x="1"/>
        <item t="default"/>
      </items>
    </pivotField>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3">
    <i>
      <x v="1"/>
    </i>
    <i>
      <x v="2"/>
    </i>
    <i t="grand">
      <x/>
    </i>
  </rowItems>
  <colItems count="1">
    <i/>
  </colItems>
  <dataFields count="1">
    <dataField name="Sum of Amount" fld="6" baseField="0" baseItem="0" numFmtId="3"/>
  </dataField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8" name="Date">
      <autoFilter ref="A1">
        <filterColumn colId="0">
          <customFilters and="1">
            <customFilter operator="greaterThanOrEqual" val="43831"/>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F7E6D525-5900-4CE7-BC2B-7571D21D1B20}" sourceName="Place">
  <pivotTables>
    <pivotTable tabId="2" name="PivotTable2"/>
    <pivotTable tabId="2" name="PivotTable3"/>
    <pivotTable tabId="2" name="PivotTable4"/>
    <pivotTable tabId="2" name="PivotTable5"/>
    <pivotTable tabId="2" name="PivotTable6"/>
  </pivotTables>
  <data>
    <tabular pivotCacheId="1645875925">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28988B0-D8B6-4815-9EA8-D3C234FF1518}" sourceName="Products">
  <pivotTables>
    <pivotTable tabId="2" name="PivotTable2"/>
    <pivotTable tabId="2" name="PivotTable3"/>
    <pivotTable tabId="2" name="PivotTable4"/>
    <pivotTable tabId="2" name="PivotTable5"/>
    <pivotTable tabId="2" name="PivotTable6"/>
  </pivotTables>
  <data>
    <tabular pivotCacheId="1645875925">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xr10:uid="{C802A13E-800A-4351-A411-11A5D9EB8A35}" cache="Slicer_Place" caption="Place" columnCount="3" rowHeight="247650"/>
  <slicer name="Products" xr10:uid="{8976783E-ED99-487D-94B8-FD4628A969C8}" cache="Slicer_Products" caption="Products" columnCoun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55F44888-7E6D-438C-8AC3-182E4BBA6DF8}" cache="Slicer_Place" caption="Place" columnCount="3" rowHeight="247650"/>
  <slicer name="Products 1" xr10:uid="{50A2A130-2FAA-4C55-BF31-B93CAC986F4A}" cache="Slicer_Products" caption="Products" columnCoun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AD61AB-7DF3-42A7-805C-D0B24443B7B7}" sourceName="Date">
  <pivotTables>
    <pivotTable tabId="2" name="PivotTable2"/>
    <pivotTable tabId="2" name="PivotTable3"/>
    <pivotTable tabId="2" name="PivotTable4"/>
    <pivotTable tabId="2" name="PivotTable5"/>
    <pivotTable tabId="2" name="PivotTable6"/>
  </pivotTables>
  <state minimalRefreshVersion="6" lastRefreshVersion="6" pivotCacheId="1645875925" filterType="dateBetween">
    <selection startDate="2020-01-01T00:00:00" endDate="2020-11-30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CAE7107-3DC0-42CC-961C-2150C3C1E244}" cache="NativeTimeline_Date" caption="Date" level="2" selectionLevel="2" scrollPosition="2020-04-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0BC09EB-341B-45A1-B7CE-BA68B67FCFA3}" cache="NativeTimeline_Date" caption="Date" level="2" selectionLevel="2" scrollPosition="2020-05-19T00:00:00"/>
</timeline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344EF-08C7-435E-873C-7020B4B2529D}">
  <dimension ref="A1:G279"/>
  <sheetViews>
    <sheetView workbookViewId="0">
      <selection sqref="A1:G15"/>
    </sheetView>
  </sheetViews>
  <sheetFormatPr defaultRowHeight="14.4" x14ac:dyDescent="0.3"/>
  <cols>
    <col min="1" max="1" width="10.77734375" bestFit="1" customWidth="1"/>
    <col min="7" max="7" width="9.5546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 t="shared" si="0"/>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3FC3-13BF-440D-9C65-73FAFC46DABC}">
  <dimension ref="A1:J121"/>
  <sheetViews>
    <sheetView zoomScale="72" zoomScaleNormal="67" workbookViewId="0">
      <selection activeCell="E115" sqref="E115"/>
    </sheetView>
  </sheetViews>
  <sheetFormatPr defaultRowHeight="14.4" x14ac:dyDescent="0.3"/>
  <cols>
    <col min="1" max="1" width="11.21875" bestFit="1" customWidth="1"/>
    <col min="2" max="4" width="13.5546875" bestFit="1" customWidth="1"/>
    <col min="5" max="6" width="11.33203125" bestFit="1" customWidth="1"/>
    <col min="7" max="7" width="10.33203125" bestFit="1" customWidth="1"/>
    <col min="8" max="9" width="9" bestFit="1" customWidth="1"/>
    <col min="10" max="10" width="10.44140625" bestFit="1" customWidth="1"/>
  </cols>
  <sheetData>
    <row r="1" spans="1:7" ht="18" x14ac:dyDescent="0.35">
      <c r="A1" s="1" t="s">
        <v>0</v>
      </c>
      <c r="B1" s="2" t="s">
        <v>1</v>
      </c>
      <c r="C1" s="2" t="s">
        <v>2</v>
      </c>
      <c r="D1" s="2" t="s">
        <v>3</v>
      </c>
      <c r="E1" s="2" t="s">
        <v>4</v>
      </c>
      <c r="F1" s="2" t="s">
        <v>5</v>
      </c>
      <c r="G1" s="2" t="s">
        <v>6</v>
      </c>
    </row>
    <row r="2" spans="1:7" ht="15.6" x14ac:dyDescent="0.3">
      <c r="A2" s="3">
        <v>43831</v>
      </c>
      <c r="B2" s="12" t="s">
        <v>25</v>
      </c>
      <c r="C2" t="s">
        <v>30</v>
      </c>
      <c r="E2" s="4">
        <v>499</v>
      </c>
      <c r="F2" s="4">
        <v>50</v>
      </c>
      <c r="G2" s="5">
        <f>E2*F2</f>
        <v>24950</v>
      </c>
    </row>
    <row r="3" spans="1:7" ht="15.6" x14ac:dyDescent="0.3">
      <c r="A3" s="6">
        <v>43835</v>
      </c>
      <c r="B3" s="13" t="s">
        <v>27</v>
      </c>
      <c r="C3" s="15">
        <v>9022917</v>
      </c>
      <c r="E3" s="7">
        <v>5599</v>
      </c>
      <c r="F3" s="7">
        <v>33</v>
      </c>
      <c r="G3" s="8">
        <f t="shared" ref="G3:G15" si="0">E3*F3</f>
        <v>184767</v>
      </c>
    </row>
    <row r="4" spans="1:7" ht="15.6" x14ac:dyDescent="0.3">
      <c r="A4" s="3">
        <v>43839</v>
      </c>
      <c r="B4" s="13" t="s">
        <v>28</v>
      </c>
      <c r="C4" s="15">
        <v>813599</v>
      </c>
      <c r="E4" s="4">
        <v>1450</v>
      </c>
      <c r="F4" s="4">
        <v>44</v>
      </c>
      <c r="G4" s="5">
        <f t="shared" si="0"/>
        <v>63800</v>
      </c>
    </row>
    <row r="5" spans="1:7" ht="15.6" x14ac:dyDescent="0.3">
      <c r="A5" s="6">
        <v>43843</v>
      </c>
      <c r="B5" s="13" t="s">
        <v>26</v>
      </c>
      <c r="C5" s="15">
        <v>9836516</v>
      </c>
      <c r="E5" s="7">
        <v>85000</v>
      </c>
      <c r="F5" s="7">
        <v>50</v>
      </c>
      <c r="G5" s="8">
        <f t="shared" si="0"/>
        <v>4250000</v>
      </c>
    </row>
    <row r="6" spans="1:7" ht="15.6" x14ac:dyDescent="0.3">
      <c r="A6" s="3">
        <v>43847</v>
      </c>
      <c r="E6" s="4">
        <v>15000</v>
      </c>
      <c r="F6" s="4">
        <v>11</v>
      </c>
      <c r="G6" s="5">
        <f t="shared" si="0"/>
        <v>165000</v>
      </c>
    </row>
    <row r="7" spans="1:7" ht="15.6" x14ac:dyDescent="0.3">
      <c r="A7" s="6">
        <v>43851</v>
      </c>
      <c r="E7" s="7">
        <v>2550</v>
      </c>
      <c r="F7" s="7">
        <v>48</v>
      </c>
      <c r="G7" s="8">
        <f t="shared" si="0"/>
        <v>122400</v>
      </c>
    </row>
    <row r="8" spans="1:7" ht="15.6" x14ac:dyDescent="0.3">
      <c r="A8" s="3">
        <v>43855</v>
      </c>
      <c r="E8" s="4">
        <v>33000</v>
      </c>
      <c r="F8" s="4">
        <v>26</v>
      </c>
      <c r="G8" s="5">
        <f t="shared" si="0"/>
        <v>858000</v>
      </c>
    </row>
    <row r="9" spans="1:7" ht="15.6" x14ac:dyDescent="0.3">
      <c r="A9" s="6">
        <v>43859</v>
      </c>
      <c r="E9" s="7">
        <v>86000</v>
      </c>
      <c r="F9" s="7">
        <v>39</v>
      </c>
      <c r="G9" s="8">
        <f t="shared" si="0"/>
        <v>3354000</v>
      </c>
    </row>
    <row r="10" spans="1:7" ht="15.6" x14ac:dyDescent="0.3">
      <c r="A10" s="3">
        <v>43863</v>
      </c>
      <c r="E10" s="4">
        <v>990</v>
      </c>
      <c r="F10" s="4">
        <v>9</v>
      </c>
      <c r="G10" s="5">
        <f t="shared" si="0"/>
        <v>8910</v>
      </c>
    </row>
    <row r="11" spans="1:7" ht="15.6" x14ac:dyDescent="0.3">
      <c r="A11" s="6">
        <v>43867</v>
      </c>
      <c r="E11" s="7">
        <v>5599</v>
      </c>
      <c r="F11" s="7">
        <v>41</v>
      </c>
      <c r="G11" s="8">
        <f t="shared" si="0"/>
        <v>229559</v>
      </c>
    </row>
    <row r="12" spans="1:7" ht="15.6" x14ac:dyDescent="0.3">
      <c r="A12" s="3">
        <v>43871</v>
      </c>
      <c r="E12" s="4">
        <v>499</v>
      </c>
      <c r="F12" s="4">
        <v>39</v>
      </c>
      <c r="G12" s="5">
        <f t="shared" si="0"/>
        <v>19461</v>
      </c>
    </row>
    <row r="13" spans="1:7" ht="15.6" x14ac:dyDescent="0.3">
      <c r="A13" s="6">
        <v>43875</v>
      </c>
      <c r="E13" s="7">
        <v>1999</v>
      </c>
      <c r="F13" s="7">
        <v>4</v>
      </c>
      <c r="G13" s="8">
        <f t="shared" si="0"/>
        <v>7996</v>
      </c>
    </row>
    <row r="14" spans="1:7" ht="15.6" x14ac:dyDescent="0.3">
      <c r="A14" s="3">
        <v>43879</v>
      </c>
      <c r="E14" s="4">
        <v>63400</v>
      </c>
      <c r="F14" s="4">
        <v>8</v>
      </c>
      <c r="G14" s="5">
        <f t="shared" si="0"/>
        <v>507200</v>
      </c>
    </row>
    <row r="15" spans="1:7" ht="15.6" x14ac:dyDescent="0.3">
      <c r="A15" s="6">
        <v>43883</v>
      </c>
      <c r="E15" s="7">
        <v>1499</v>
      </c>
      <c r="F15" s="7">
        <v>27</v>
      </c>
      <c r="G15" s="8">
        <f t="shared" si="0"/>
        <v>40473</v>
      </c>
    </row>
    <row r="36" spans="2:7" ht="18" x14ac:dyDescent="0.35">
      <c r="B36" s="2" t="s">
        <v>1</v>
      </c>
      <c r="C36" s="2" t="s">
        <v>2</v>
      </c>
      <c r="D36" s="2" t="s">
        <v>3</v>
      </c>
      <c r="E36" s="2" t="s">
        <v>4</v>
      </c>
      <c r="F36" s="2" t="s">
        <v>5</v>
      </c>
      <c r="G36" s="2" t="s">
        <v>6</v>
      </c>
    </row>
    <row r="37" spans="2:7" ht="15.6" x14ac:dyDescent="0.3">
      <c r="B37" s="12" t="s">
        <v>25</v>
      </c>
      <c r="C37" t="s">
        <v>30</v>
      </c>
      <c r="E37" s="4">
        <v>499</v>
      </c>
      <c r="F37" s="4">
        <v>50</v>
      </c>
      <c r="G37" s="5">
        <f>E37*F37</f>
        <v>24950</v>
      </c>
    </row>
    <row r="38" spans="2:7" ht="15.6" x14ac:dyDescent="0.3">
      <c r="B38" s="13" t="s">
        <v>14</v>
      </c>
      <c r="C38" s="15">
        <v>941261</v>
      </c>
      <c r="E38" s="7">
        <v>5599</v>
      </c>
      <c r="F38" s="7">
        <v>33</v>
      </c>
      <c r="G38" s="8">
        <f t="shared" ref="G38:G50" si="1">E38*F38</f>
        <v>184767</v>
      </c>
    </row>
    <row r="39" spans="2:7" ht="15.6" x14ac:dyDescent="0.3">
      <c r="B39" s="13" t="s">
        <v>21</v>
      </c>
      <c r="C39" s="15">
        <v>3354000</v>
      </c>
      <c r="E39" s="4">
        <v>1450</v>
      </c>
      <c r="F39" s="4">
        <v>44</v>
      </c>
      <c r="G39" s="5">
        <f t="shared" si="1"/>
        <v>63800</v>
      </c>
    </row>
    <row r="40" spans="2:7" ht="15.6" x14ac:dyDescent="0.3">
      <c r="B40" s="13" t="s">
        <v>9</v>
      </c>
      <c r="C40" s="15">
        <v>5019705</v>
      </c>
      <c r="E40" s="7">
        <v>85000</v>
      </c>
      <c r="F40" s="7">
        <v>50</v>
      </c>
      <c r="G40" s="8">
        <f t="shared" si="1"/>
        <v>4250000</v>
      </c>
    </row>
    <row r="41" spans="2:7" ht="15.6" x14ac:dyDescent="0.3">
      <c r="B41" s="13" t="s">
        <v>18</v>
      </c>
      <c r="C41" s="15">
        <v>336783</v>
      </c>
      <c r="E41" s="4">
        <v>15000</v>
      </c>
      <c r="F41" s="4">
        <v>11</v>
      </c>
      <c r="G41" s="5">
        <f t="shared" si="1"/>
        <v>165000</v>
      </c>
    </row>
    <row r="42" spans="2:7" ht="15.6" x14ac:dyDescent="0.3">
      <c r="B42" s="13" t="s">
        <v>11</v>
      </c>
      <c r="C42" s="15">
        <v>184767</v>
      </c>
      <c r="E42" s="7">
        <v>2550</v>
      </c>
      <c r="F42" s="7">
        <v>48</v>
      </c>
      <c r="G42" s="8">
        <f t="shared" si="1"/>
        <v>122400</v>
      </c>
    </row>
    <row r="43" spans="2:7" ht="15.6" x14ac:dyDescent="0.3">
      <c r="B43" s="13" t="s">
        <v>26</v>
      </c>
      <c r="C43" s="15">
        <v>9836516</v>
      </c>
      <c r="E43" s="4">
        <v>33000</v>
      </c>
      <c r="F43" s="4">
        <v>26</v>
      </c>
      <c r="G43" s="5">
        <f t="shared" si="1"/>
        <v>858000</v>
      </c>
    </row>
    <row r="44" spans="2:7" ht="15.6" x14ac:dyDescent="0.3">
      <c r="E44" s="7">
        <v>86000</v>
      </c>
      <c r="F44" s="7">
        <v>39</v>
      </c>
      <c r="G44" s="8">
        <f t="shared" si="1"/>
        <v>3354000</v>
      </c>
    </row>
    <row r="45" spans="2:7" ht="15.6" x14ac:dyDescent="0.3">
      <c r="E45" s="4">
        <v>990</v>
      </c>
      <c r="F45" s="4">
        <v>9</v>
      </c>
      <c r="G45" s="5">
        <f t="shared" si="1"/>
        <v>8910</v>
      </c>
    </row>
    <row r="46" spans="2:7" ht="15.6" x14ac:dyDescent="0.3">
      <c r="E46" s="7">
        <v>5599</v>
      </c>
      <c r="F46" s="7">
        <v>41</v>
      </c>
      <c r="G46" s="8">
        <f t="shared" si="1"/>
        <v>229559</v>
      </c>
    </row>
    <row r="47" spans="2:7" ht="15.6" x14ac:dyDescent="0.3">
      <c r="E47" s="4">
        <v>499</v>
      </c>
      <c r="F47" s="4">
        <v>39</v>
      </c>
      <c r="G47" s="5">
        <f t="shared" si="1"/>
        <v>19461</v>
      </c>
    </row>
    <row r="48" spans="2:7" ht="15.6" x14ac:dyDescent="0.3">
      <c r="E48" s="7">
        <v>1999</v>
      </c>
      <c r="F48" s="7">
        <v>4</v>
      </c>
      <c r="G48" s="8">
        <f t="shared" si="1"/>
        <v>7996</v>
      </c>
    </row>
    <row r="49" spans="2:8" ht="15.6" x14ac:dyDescent="0.3">
      <c r="E49" s="4">
        <v>63400</v>
      </c>
      <c r="F49" s="4">
        <v>8</v>
      </c>
      <c r="G49" s="5">
        <f t="shared" si="1"/>
        <v>507200</v>
      </c>
    </row>
    <row r="50" spans="2:8" ht="15.6" x14ac:dyDescent="0.3">
      <c r="E50" s="7">
        <v>1499</v>
      </c>
      <c r="F50" s="7">
        <v>27</v>
      </c>
      <c r="G50" s="8">
        <f t="shared" si="1"/>
        <v>40473</v>
      </c>
    </row>
    <row r="55" spans="2:8" ht="18" x14ac:dyDescent="0.35">
      <c r="B55" s="1" t="s">
        <v>0</v>
      </c>
      <c r="C55" s="2" t="s">
        <v>1</v>
      </c>
      <c r="D55" s="2" t="s">
        <v>2</v>
      </c>
      <c r="E55" s="2" t="s">
        <v>3</v>
      </c>
      <c r="F55" s="2" t="s">
        <v>4</v>
      </c>
      <c r="G55" s="2" t="s">
        <v>5</v>
      </c>
      <c r="H55" s="2" t="s">
        <v>6</v>
      </c>
    </row>
    <row r="56" spans="2:8" ht="15.6" x14ac:dyDescent="0.3">
      <c r="B56" s="3">
        <v>43831</v>
      </c>
      <c r="C56" s="12" t="s">
        <v>25</v>
      </c>
      <c r="D56" t="s">
        <v>29</v>
      </c>
      <c r="F56" s="4">
        <v>499</v>
      </c>
      <c r="G56" s="4">
        <v>50</v>
      </c>
      <c r="H56" s="5">
        <f>F56*G56</f>
        <v>24950</v>
      </c>
    </row>
    <row r="57" spans="2:8" ht="15.6" x14ac:dyDescent="0.3">
      <c r="B57" s="6">
        <v>43835</v>
      </c>
      <c r="C57" s="13" t="s">
        <v>16</v>
      </c>
      <c r="D57" s="14">
        <v>97</v>
      </c>
      <c r="F57" s="7">
        <v>5599</v>
      </c>
      <c r="G57" s="7">
        <v>33</v>
      </c>
      <c r="H57" s="8">
        <f t="shared" ref="H57:H69" si="2">F57*G57</f>
        <v>184767</v>
      </c>
    </row>
    <row r="58" spans="2:8" ht="15.6" x14ac:dyDescent="0.3">
      <c r="B58" s="3">
        <v>43839</v>
      </c>
      <c r="C58" s="13" t="s">
        <v>8</v>
      </c>
      <c r="D58" s="14">
        <v>172</v>
      </c>
      <c r="F58" s="4">
        <v>1450</v>
      </c>
      <c r="G58" s="4">
        <v>44</v>
      </c>
      <c r="H58" s="5">
        <f t="shared" si="2"/>
        <v>63800</v>
      </c>
    </row>
    <row r="59" spans="2:8" ht="15.6" x14ac:dyDescent="0.3">
      <c r="B59" s="6">
        <v>43843</v>
      </c>
      <c r="C59" s="13" t="s">
        <v>20</v>
      </c>
      <c r="D59" s="14">
        <v>65</v>
      </c>
      <c r="F59" s="7">
        <v>85000</v>
      </c>
      <c r="G59" s="7">
        <v>50</v>
      </c>
      <c r="H59" s="8">
        <f t="shared" si="2"/>
        <v>4250000</v>
      </c>
    </row>
    <row r="60" spans="2:8" ht="15.6" x14ac:dyDescent="0.3">
      <c r="B60" s="3">
        <v>43847</v>
      </c>
      <c r="C60" s="13" t="s">
        <v>13</v>
      </c>
      <c r="D60" s="14">
        <v>44</v>
      </c>
      <c r="F60" s="4">
        <v>15000</v>
      </c>
      <c r="G60" s="4">
        <v>11</v>
      </c>
      <c r="H60" s="5">
        <f t="shared" si="2"/>
        <v>165000</v>
      </c>
    </row>
    <row r="61" spans="2:8" ht="15.6" x14ac:dyDescent="0.3">
      <c r="B61" s="6">
        <v>43851</v>
      </c>
      <c r="C61" s="13" t="s">
        <v>17</v>
      </c>
      <c r="D61" s="14">
        <v>11</v>
      </c>
      <c r="F61" s="7">
        <v>2550</v>
      </c>
      <c r="G61" s="7">
        <v>48</v>
      </c>
      <c r="H61" s="8">
        <f t="shared" si="2"/>
        <v>122400</v>
      </c>
    </row>
    <row r="62" spans="2:8" ht="15.6" x14ac:dyDescent="0.3">
      <c r="B62" s="3">
        <v>43855</v>
      </c>
      <c r="C62" s="13" t="s">
        <v>22</v>
      </c>
      <c r="D62" s="14">
        <v>40</v>
      </c>
      <c r="F62" s="4">
        <v>33000</v>
      </c>
      <c r="G62" s="4">
        <v>26</v>
      </c>
      <c r="H62" s="5">
        <f t="shared" si="2"/>
        <v>858000</v>
      </c>
    </row>
    <row r="63" spans="2:8" ht="15.6" x14ac:dyDescent="0.3">
      <c r="B63" s="6">
        <v>43859</v>
      </c>
      <c r="C63" s="13" t="s">
        <v>26</v>
      </c>
      <c r="D63" s="14">
        <v>429</v>
      </c>
      <c r="F63" s="7">
        <v>86000</v>
      </c>
      <c r="G63" s="7">
        <v>39</v>
      </c>
      <c r="H63" s="8">
        <f t="shared" si="2"/>
        <v>3354000</v>
      </c>
    </row>
    <row r="64" spans="2:8" ht="15.6" x14ac:dyDescent="0.3">
      <c r="B64" s="3">
        <v>43863</v>
      </c>
      <c r="F64" s="4">
        <v>990</v>
      </c>
      <c r="G64" s="4">
        <v>9</v>
      </c>
      <c r="H64" s="5">
        <f t="shared" si="2"/>
        <v>8910</v>
      </c>
    </row>
    <row r="65" spans="2:8" ht="15.6" x14ac:dyDescent="0.3">
      <c r="B65" s="6">
        <v>43867</v>
      </c>
      <c r="F65" s="7">
        <v>5599</v>
      </c>
      <c r="G65" s="7">
        <v>41</v>
      </c>
      <c r="H65" s="8">
        <f t="shared" si="2"/>
        <v>229559</v>
      </c>
    </row>
    <row r="66" spans="2:8" ht="15.6" x14ac:dyDescent="0.3">
      <c r="B66" s="3">
        <v>43871</v>
      </c>
      <c r="F66" s="4">
        <v>499</v>
      </c>
      <c r="G66" s="4">
        <v>39</v>
      </c>
      <c r="H66" s="5">
        <f t="shared" si="2"/>
        <v>19461</v>
      </c>
    </row>
    <row r="67" spans="2:8" ht="15.6" x14ac:dyDescent="0.3">
      <c r="B67" s="6">
        <v>43875</v>
      </c>
      <c r="F67" s="7">
        <v>1999</v>
      </c>
      <c r="G67" s="7">
        <v>4</v>
      </c>
      <c r="H67" s="8">
        <f t="shared" si="2"/>
        <v>7996</v>
      </c>
    </row>
    <row r="68" spans="2:8" ht="15.6" x14ac:dyDescent="0.3">
      <c r="B68" s="3">
        <v>43879</v>
      </c>
      <c r="F68" s="4">
        <v>63400</v>
      </c>
      <c r="G68" s="4">
        <v>8</v>
      </c>
      <c r="H68" s="5">
        <f t="shared" si="2"/>
        <v>507200</v>
      </c>
    </row>
    <row r="69" spans="2:8" ht="15.6" x14ac:dyDescent="0.3">
      <c r="B69" s="6">
        <v>43883</v>
      </c>
      <c r="F69" s="7">
        <v>1499</v>
      </c>
      <c r="G69" s="7">
        <v>27</v>
      </c>
      <c r="H69" s="8">
        <f t="shared" si="2"/>
        <v>40473</v>
      </c>
    </row>
    <row r="84" spans="4:10" ht="18" x14ac:dyDescent="0.35">
      <c r="D84" s="1" t="s">
        <v>0</v>
      </c>
      <c r="E84" s="2" t="s">
        <v>1</v>
      </c>
      <c r="F84" s="2" t="s">
        <v>2</v>
      </c>
      <c r="G84" s="2" t="s">
        <v>3</v>
      </c>
      <c r="H84" s="2" t="s">
        <v>4</v>
      </c>
      <c r="I84" s="2" t="s">
        <v>5</v>
      </c>
      <c r="J84" s="2" t="s">
        <v>6</v>
      </c>
    </row>
    <row r="85" spans="4:10" ht="15.6" x14ac:dyDescent="0.3">
      <c r="D85" s="3">
        <v>43831</v>
      </c>
      <c r="E85" s="12" t="s">
        <v>25</v>
      </c>
      <c r="F85" t="s">
        <v>30</v>
      </c>
      <c r="H85" s="4">
        <v>499</v>
      </c>
      <c r="I85" s="4">
        <v>50</v>
      </c>
      <c r="J85" s="5">
        <f>H85*I85</f>
        <v>24950</v>
      </c>
    </row>
    <row r="86" spans="4:10" ht="15.6" x14ac:dyDescent="0.3">
      <c r="D86" s="6">
        <v>43835</v>
      </c>
      <c r="E86" s="13" t="s">
        <v>16</v>
      </c>
      <c r="F86" s="15">
        <v>8111200</v>
      </c>
      <c r="H86" s="7">
        <v>5599</v>
      </c>
      <c r="I86" s="7">
        <v>33</v>
      </c>
      <c r="J86" s="8">
        <f t="shared" ref="J86:J98" si="3">H86*I86</f>
        <v>184767</v>
      </c>
    </row>
    <row r="87" spans="4:10" ht="15.6" x14ac:dyDescent="0.3">
      <c r="D87" s="3">
        <v>43839</v>
      </c>
      <c r="E87" s="13" t="s">
        <v>8</v>
      </c>
      <c r="F87" s="15">
        <v>561676</v>
      </c>
      <c r="H87" s="4">
        <v>1450</v>
      </c>
      <c r="I87" s="4">
        <v>44</v>
      </c>
      <c r="J87" s="5">
        <f t="shared" si="3"/>
        <v>63800</v>
      </c>
    </row>
    <row r="88" spans="4:10" ht="15.6" x14ac:dyDescent="0.3">
      <c r="D88" s="6">
        <v>43843</v>
      </c>
      <c r="E88" s="13" t="s">
        <v>20</v>
      </c>
      <c r="F88" s="15">
        <v>877461</v>
      </c>
      <c r="H88" s="7">
        <v>85000</v>
      </c>
      <c r="I88" s="7">
        <v>50</v>
      </c>
      <c r="J88" s="8">
        <f t="shared" si="3"/>
        <v>4250000</v>
      </c>
    </row>
    <row r="89" spans="4:10" ht="15.6" x14ac:dyDescent="0.3">
      <c r="D89" s="3">
        <v>43847</v>
      </c>
      <c r="E89" s="13" t="s">
        <v>13</v>
      </c>
      <c r="F89" s="15">
        <v>63800</v>
      </c>
      <c r="H89" s="4">
        <v>15000</v>
      </c>
      <c r="I89" s="4">
        <v>11</v>
      </c>
      <c r="J89" s="5">
        <f t="shared" si="3"/>
        <v>165000</v>
      </c>
    </row>
    <row r="90" spans="4:10" ht="15.6" x14ac:dyDescent="0.3">
      <c r="D90" s="6">
        <v>43851</v>
      </c>
      <c r="E90" s="13" t="s">
        <v>17</v>
      </c>
      <c r="F90" s="15">
        <v>165000</v>
      </c>
      <c r="H90" s="7">
        <v>2550</v>
      </c>
      <c r="I90" s="7">
        <v>48</v>
      </c>
      <c r="J90" s="8">
        <f t="shared" si="3"/>
        <v>122400</v>
      </c>
    </row>
    <row r="91" spans="4:10" ht="15.6" x14ac:dyDescent="0.3">
      <c r="D91" s="3">
        <v>43855</v>
      </c>
      <c r="E91" s="13" t="s">
        <v>22</v>
      </c>
      <c r="F91" s="15">
        <v>57379</v>
      </c>
      <c r="H91" s="4">
        <v>33000</v>
      </c>
      <c r="I91" s="4">
        <v>26</v>
      </c>
      <c r="J91" s="5">
        <f t="shared" si="3"/>
        <v>858000</v>
      </c>
    </row>
    <row r="92" spans="4:10" ht="15.6" x14ac:dyDescent="0.3">
      <c r="D92" s="6">
        <v>43859</v>
      </c>
      <c r="E92" s="13" t="s">
        <v>26</v>
      </c>
      <c r="F92" s="15">
        <v>9836516</v>
      </c>
      <c r="H92" s="7">
        <v>86000</v>
      </c>
      <c r="I92" s="7">
        <v>39</v>
      </c>
      <c r="J92" s="8">
        <f t="shared" si="3"/>
        <v>3354000</v>
      </c>
    </row>
    <row r="93" spans="4:10" ht="15.6" x14ac:dyDescent="0.3">
      <c r="D93" s="3">
        <v>43863</v>
      </c>
      <c r="H93" s="4">
        <v>990</v>
      </c>
      <c r="I93" s="4">
        <v>9</v>
      </c>
      <c r="J93" s="5">
        <f t="shared" si="3"/>
        <v>8910</v>
      </c>
    </row>
    <row r="94" spans="4:10" ht="15.6" x14ac:dyDescent="0.3">
      <c r="D94" s="6">
        <v>43867</v>
      </c>
      <c r="H94" s="7">
        <v>5599</v>
      </c>
      <c r="I94" s="7">
        <v>41</v>
      </c>
      <c r="J94" s="8">
        <f t="shared" si="3"/>
        <v>229559</v>
      </c>
    </row>
    <row r="95" spans="4:10" ht="15.6" x14ac:dyDescent="0.3">
      <c r="D95" s="3">
        <v>43871</v>
      </c>
      <c r="H95" s="4">
        <v>499</v>
      </c>
      <c r="I95" s="4">
        <v>39</v>
      </c>
      <c r="J95" s="5">
        <f t="shared" si="3"/>
        <v>19461</v>
      </c>
    </row>
    <row r="96" spans="4:10" ht="15.6" x14ac:dyDescent="0.3">
      <c r="D96" s="6">
        <v>43875</v>
      </c>
      <c r="H96" s="7">
        <v>1999</v>
      </c>
      <c r="I96" s="7">
        <v>4</v>
      </c>
      <c r="J96" s="8">
        <f t="shared" si="3"/>
        <v>7996</v>
      </c>
    </row>
    <row r="97" spans="3:10" ht="15.6" x14ac:dyDescent="0.3">
      <c r="D97" s="3">
        <v>43879</v>
      </c>
      <c r="H97" s="4">
        <v>63400</v>
      </c>
      <c r="I97" s="4">
        <v>8</v>
      </c>
      <c r="J97" s="5">
        <f t="shared" si="3"/>
        <v>507200</v>
      </c>
    </row>
    <row r="98" spans="3:10" ht="15.6" x14ac:dyDescent="0.3">
      <c r="D98" s="6">
        <v>43883</v>
      </c>
      <c r="H98" s="7">
        <v>1499</v>
      </c>
      <c r="I98" s="7">
        <v>27</v>
      </c>
      <c r="J98" s="8">
        <f t="shared" si="3"/>
        <v>40473</v>
      </c>
    </row>
    <row r="107" spans="3:10" ht="18" x14ac:dyDescent="0.35">
      <c r="C107" s="1" t="s">
        <v>0</v>
      </c>
      <c r="D107" s="2" t="s">
        <v>1</v>
      </c>
      <c r="E107" s="2" t="s">
        <v>2</v>
      </c>
      <c r="F107" s="2" t="s">
        <v>3</v>
      </c>
      <c r="G107" s="2" t="s">
        <v>4</v>
      </c>
      <c r="H107" s="2" t="s">
        <v>5</v>
      </c>
      <c r="I107" s="2" t="s">
        <v>6</v>
      </c>
    </row>
    <row r="108" spans="3:10" ht="15.6" x14ac:dyDescent="0.3">
      <c r="C108" s="3">
        <v>43831</v>
      </c>
      <c r="D108" s="12" t="s">
        <v>25</v>
      </c>
      <c r="E108" t="s">
        <v>29</v>
      </c>
      <c r="G108" s="4">
        <v>499</v>
      </c>
      <c r="H108" s="4">
        <v>50</v>
      </c>
      <c r="I108" s="5">
        <f>G108*H108</f>
        <v>24950</v>
      </c>
    </row>
    <row r="109" spans="3:10" ht="15.6" x14ac:dyDescent="0.3">
      <c r="C109" s="6">
        <v>43835</v>
      </c>
      <c r="D109" s="13" t="s">
        <v>16</v>
      </c>
      <c r="E109" s="14">
        <v>97</v>
      </c>
      <c r="G109" s="7">
        <v>5599</v>
      </c>
      <c r="H109" s="7">
        <v>33</v>
      </c>
      <c r="I109" s="8">
        <f t="shared" ref="I109:I121" si="4">G109*H109</f>
        <v>184767</v>
      </c>
    </row>
    <row r="110" spans="3:10" ht="15.6" x14ac:dyDescent="0.3">
      <c r="C110" s="3">
        <v>43839</v>
      </c>
      <c r="D110" s="13" t="s">
        <v>8</v>
      </c>
      <c r="E110" s="14">
        <v>172</v>
      </c>
      <c r="G110" s="4">
        <v>1450</v>
      </c>
      <c r="H110" s="4">
        <v>44</v>
      </c>
      <c r="I110" s="5">
        <f t="shared" si="4"/>
        <v>63800</v>
      </c>
    </row>
    <row r="111" spans="3:10" ht="15.6" x14ac:dyDescent="0.3">
      <c r="C111" s="6">
        <v>43843</v>
      </c>
      <c r="D111" s="13" t="s">
        <v>20</v>
      </c>
      <c r="E111" s="14">
        <v>65</v>
      </c>
      <c r="G111" s="7">
        <v>85000</v>
      </c>
      <c r="H111" s="7">
        <v>50</v>
      </c>
      <c r="I111" s="8">
        <f t="shared" si="4"/>
        <v>4250000</v>
      </c>
    </row>
    <row r="112" spans="3:10" ht="15.6" x14ac:dyDescent="0.3">
      <c r="C112" s="3">
        <v>43847</v>
      </c>
      <c r="D112" s="13" t="s">
        <v>13</v>
      </c>
      <c r="E112" s="14">
        <v>44</v>
      </c>
      <c r="G112" s="4">
        <v>15000</v>
      </c>
      <c r="H112" s="4">
        <v>11</v>
      </c>
      <c r="I112" s="5">
        <f t="shared" si="4"/>
        <v>165000</v>
      </c>
    </row>
    <row r="113" spans="3:9" ht="15.6" x14ac:dyDescent="0.3">
      <c r="C113" s="6">
        <v>43851</v>
      </c>
      <c r="D113" s="13" t="s">
        <v>17</v>
      </c>
      <c r="E113" s="14">
        <v>11</v>
      </c>
      <c r="G113" s="7">
        <v>2550</v>
      </c>
      <c r="H113" s="7">
        <v>48</v>
      </c>
      <c r="I113" s="8">
        <f t="shared" si="4"/>
        <v>122400</v>
      </c>
    </row>
    <row r="114" spans="3:9" ht="15.6" x14ac:dyDescent="0.3">
      <c r="C114" s="3">
        <v>43855</v>
      </c>
      <c r="D114" s="13" t="s">
        <v>22</v>
      </c>
      <c r="E114" s="14">
        <v>40</v>
      </c>
      <c r="G114" s="4">
        <v>33000</v>
      </c>
      <c r="H114" s="4">
        <v>26</v>
      </c>
      <c r="I114" s="5">
        <f t="shared" si="4"/>
        <v>858000</v>
      </c>
    </row>
    <row r="115" spans="3:9" ht="15.6" x14ac:dyDescent="0.3">
      <c r="C115" s="6">
        <v>43859</v>
      </c>
      <c r="D115" s="13" t="s">
        <v>26</v>
      </c>
      <c r="E115" s="14">
        <v>429</v>
      </c>
      <c r="G115" s="7">
        <v>86000</v>
      </c>
      <c r="H115" s="7">
        <v>39</v>
      </c>
      <c r="I115" s="8">
        <f t="shared" si="4"/>
        <v>3354000</v>
      </c>
    </row>
    <row r="116" spans="3:9" ht="15.6" x14ac:dyDescent="0.3">
      <c r="C116" s="3">
        <v>43863</v>
      </c>
      <c r="G116" s="4">
        <v>990</v>
      </c>
      <c r="H116" s="4">
        <v>9</v>
      </c>
      <c r="I116" s="5">
        <f t="shared" si="4"/>
        <v>8910</v>
      </c>
    </row>
    <row r="117" spans="3:9" ht="15.6" x14ac:dyDescent="0.3">
      <c r="C117" s="6">
        <v>43867</v>
      </c>
      <c r="G117" s="7">
        <v>5599</v>
      </c>
      <c r="H117" s="7">
        <v>41</v>
      </c>
      <c r="I117" s="8">
        <f t="shared" si="4"/>
        <v>229559</v>
      </c>
    </row>
    <row r="118" spans="3:9" ht="15.6" x14ac:dyDescent="0.3">
      <c r="C118" s="3">
        <v>43871</v>
      </c>
      <c r="G118" s="4">
        <v>499</v>
      </c>
      <c r="H118" s="4">
        <v>39</v>
      </c>
      <c r="I118" s="5">
        <f t="shared" si="4"/>
        <v>19461</v>
      </c>
    </row>
    <row r="119" spans="3:9" ht="15.6" x14ac:dyDescent="0.3">
      <c r="C119" s="6">
        <v>43875</v>
      </c>
      <c r="G119" s="7">
        <v>1999</v>
      </c>
      <c r="H119" s="7">
        <v>4</v>
      </c>
      <c r="I119" s="8">
        <f t="shared" si="4"/>
        <v>7996</v>
      </c>
    </row>
    <row r="120" spans="3:9" ht="15.6" x14ac:dyDescent="0.3">
      <c r="C120" s="3">
        <v>43879</v>
      </c>
      <c r="G120" s="4">
        <v>63400</v>
      </c>
      <c r="H120" s="4">
        <v>8</v>
      </c>
      <c r="I120" s="5">
        <f t="shared" si="4"/>
        <v>507200</v>
      </c>
    </row>
    <row r="121" spans="3:9" ht="15.6" x14ac:dyDescent="0.3">
      <c r="C121" s="6">
        <v>43883</v>
      </c>
      <c r="G121" s="7">
        <v>1499</v>
      </c>
      <c r="H121" s="7">
        <v>27</v>
      </c>
      <c r="I121" s="8">
        <f t="shared" si="4"/>
        <v>40473</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B2811-0E0E-4635-850B-3B130023A5DF}">
  <dimension ref="A1"/>
  <sheetViews>
    <sheetView tabSelected="1" zoomScale="64" workbookViewId="0">
      <selection activeCell="E17" sqref="E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DATA</vt: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Thota Jagadeesh</dc:creator>
  <cp:lastModifiedBy>Spoorthi M</cp:lastModifiedBy>
  <dcterms:created xsi:type="dcterms:W3CDTF">2026-07-09T11:01:35Z</dcterms:created>
  <dcterms:modified xsi:type="dcterms:W3CDTF">2026-07-15T19:08:11Z</dcterms:modified>
</cp:coreProperties>
</file>